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ustomProperty2.bin" ContentType="application/vnd.openxmlformats-officedocument.spreadsheetml.customProperty"/>
  <Override PartName="/xl/tables/table1.xml" ContentType="application/vnd.openxmlformats-officedocument.spreadsheetml.table+xml"/>
  <Override PartName="/xl/customProperty3.bin" ContentType="application/vnd.openxmlformats-officedocument.spreadsheetml.customProperty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ustomProperty4.bin" ContentType="application/vnd.openxmlformats-officedocument.spreadsheetml.customProperty"/>
  <Override PartName="/xl/tables/table4.xml" ContentType="application/vnd.openxmlformats-officedocument.spreadsheetml.table+xml"/>
  <Override PartName="/xl/customProperty5.bin" ContentType="application/vnd.openxmlformats-officedocument.spreadsheetml.customProperty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tables/table9.xml" ContentType="application/vnd.openxmlformats-officedocument.spreadsheetml.table+xml"/>
  <Override PartName="/xl/customProperty8.bin" ContentType="application/vnd.openxmlformats-officedocument.spreadsheetml.customProperty"/>
  <Override PartName="/xl/tables/table10.xml" ContentType="application/vnd.openxmlformats-officedocument.spreadsheetml.table+xml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cel\Documents\Hexagon\Contabil\"/>
    </mc:Choice>
  </mc:AlternateContent>
  <xr:revisionPtr revIDLastSave="0" documentId="13_ncr:1_{D948C87B-673E-487D-A7CC-D26A8DAC28C7}" xr6:coauthVersionLast="41" xr6:coauthVersionMax="41" xr10:uidLastSave="{00000000-0000-0000-0000-000000000000}"/>
  <bookViews>
    <workbookView xWindow="-110" yWindow="-110" windowWidth="19420" windowHeight="10420" tabRatio="473" xr2:uid="{00000000-000D-0000-FFFF-FFFF00000000}"/>
  </bookViews>
  <sheets>
    <sheet name="Menu" sheetId="1" r:id="rId1"/>
    <sheet name="Rateios" sheetId="12" r:id="rId2"/>
    <sheet name="Receita Líquida" sheetId="10" r:id="rId3"/>
    <sheet name="Origens" sheetId="4" r:id="rId4"/>
    <sheet name="Agrupamento" sheetId="5" r:id="rId5"/>
    <sheet name="Flat" sheetId="9" r:id="rId6"/>
    <sheet name="Escritórios" sheetId="6" r:id="rId7"/>
    <sheet name="Planos de Resultado" sheetId="8" r:id="rId8"/>
    <sheet name="DFC" sheetId="11" r:id="rId9"/>
  </sheets>
  <functionGroups builtInGroupCount="19"/>
  <definedNames>
    <definedName name="Câmbio">Menu!$P$19</definedName>
    <definedName name="OPEXPonte">Menu!$P$18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75" i="5" l="1"/>
  <c r="G174" i="5"/>
  <c r="G173" i="5"/>
  <c r="G172" i="5"/>
  <c r="G171" i="5"/>
  <c r="G170" i="5"/>
  <c r="G169" i="5"/>
  <c r="G168" i="5"/>
  <c r="G167" i="5"/>
  <c r="G143" i="5"/>
  <c r="G142" i="5"/>
  <c r="G141" i="5"/>
  <c r="G140" i="5"/>
  <c r="G139" i="5"/>
  <c r="G138" i="5"/>
  <c r="G137" i="5"/>
  <c r="G136" i="5"/>
  <c r="G135" i="5"/>
  <c r="G134" i="5"/>
  <c r="G133" i="5"/>
  <c r="D16" i="1" l="1"/>
  <c r="G132" i="5" l="1"/>
  <c r="G131" i="5"/>
  <c r="G130" i="5"/>
  <c r="G129" i="5"/>
  <c r="G128" i="5"/>
  <c r="G127" i="5"/>
  <c r="G45" i="5"/>
  <c r="P19" i="1" l="1"/>
  <c r="P18" i="1"/>
  <c r="P15" i="1"/>
  <c r="O15" i="1"/>
  <c r="P14" i="1"/>
  <c r="O14" i="1"/>
  <c r="P13" i="1"/>
  <c r="O13" i="1"/>
  <c r="P12" i="1"/>
  <c r="O12" i="1"/>
  <c r="P11" i="1"/>
  <c r="O11" i="1"/>
  <c r="P10" i="1"/>
  <c r="O10" i="1"/>
  <c r="P9" i="1"/>
  <c r="O9" i="1"/>
  <c r="P8" i="1"/>
  <c r="O8" i="1"/>
  <c r="P6" i="1"/>
  <c r="O6" i="1"/>
  <c r="P5" i="1"/>
  <c r="O5" i="1" l="1"/>
  <c r="G126" i="5" l="1"/>
  <c r="G125" i="5"/>
  <c r="G124" i="5"/>
  <c r="G123" i="5"/>
  <c r="G122" i="5"/>
  <c r="G121" i="5"/>
  <c r="G120" i="5"/>
  <c r="G119" i="5"/>
  <c r="G118" i="5"/>
  <c r="G117" i="5"/>
  <c r="G116" i="5"/>
  <c r="G115" i="5"/>
  <c r="G114" i="5"/>
  <c r="G113" i="5"/>
  <c r="G112" i="5"/>
  <c r="G111" i="5"/>
  <c r="G110" i="5"/>
  <c r="G109" i="5"/>
  <c r="G108" i="5"/>
  <c r="G107" i="5"/>
  <c r="G106" i="5"/>
  <c r="G105" i="5"/>
  <c r="G104" i="5"/>
  <c r="G103" i="5"/>
  <c r="G102" i="5"/>
  <c r="G101" i="5"/>
  <c r="G100" i="5"/>
  <c r="G99" i="5"/>
  <c r="G98" i="5"/>
  <c r="G97" i="5"/>
  <c r="G96" i="5"/>
  <c r="G95" i="5"/>
  <c r="G94" i="5"/>
  <c r="G93" i="5"/>
  <c r="G92" i="5"/>
  <c r="G91" i="5"/>
  <c r="G90" i="5"/>
  <c r="G89" i="5"/>
  <c r="G88" i="5"/>
  <c r="G87" i="5"/>
  <c r="G86" i="5"/>
  <c r="G85" i="5"/>
  <c r="G84" i="5"/>
  <c r="G83" i="5"/>
  <c r="G82" i="5"/>
  <c r="G81" i="5"/>
  <c r="G80" i="5"/>
  <c r="G79" i="5"/>
  <c r="G78" i="5"/>
  <c r="G77" i="5"/>
  <c r="G76" i="5"/>
  <c r="G75" i="5"/>
  <c r="G74" i="5"/>
  <c r="G73" i="5"/>
  <c r="G72" i="5"/>
  <c r="G71" i="5"/>
  <c r="G70" i="5"/>
  <c r="G69" i="5"/>
  <c r="G68" i="5"/>
  <c r="G67" i="5"/>
  <c r="G66" i="5"/>
  <c r="G65" i="5"/>
  <c r="G64" i="5"/>
  <c r="G63" i="5"/>
  <c r="G62" i="5"/>
  <c r="G61" i="5"/>
  <c r="G60" i="5"/>
  <c r="G59" i="5"/>
  <c r="G58" i="5"/>
  <c r="G57" i="5"/>
  <c r="G56" i="5"/>
  <c r="G55" i="5"/>
  <c r="G54" i="5"/>
  <c r="G53" i="5"/>
  <c r="G52" i="5"/>
  <c r="G51" i="5"/>
  <c r="G50" i="5"/>
  <c r="G49" i="5"/>
  <c r="G48" i="5"/>
  <c r="G47" i="5"/>
  <c r="G46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G31" i="5"/>
  <c r="G30" i="5"/>
  <c r="G29" i="5"/>
  <c r="G28" i="5"/>
  <c r="G27" i="5"/>
  <c r="G26" i="5"/>
  <c r="D17" i="1" l="1"/>
  <c r="D19" i="1" l="1"/>
  <c r="D18" i="1"/>
</calcChain>
</file>

<file path=xl/sharedStrings.xml><?xml version="1.0" encoding="utf-8"?>
<sst xmlns="http://schemas.openxmlformats.org/spreadsheetml/2006/main" count="2315" uniqueCount="1113">
  <si>
    <t>Grupo</t>
  </si>
  <si>
    <t>Impostos</t>
  </si>
  <si>
    <t>Infraestrutura</t>
  </si>
  <si>
    <t>Marketing</t>
  </si>
  <si>
    <t>Depreciação</t>
  </si>
  <si>
    <t>Custo</t>
  </si>
  <si>
    <t>Brindes</t>
  </si>
  <si>
    <t>Viagens</t>
  </si>
  <si>
    <t>Fretes</t>
  </si>
  <si>
    <t>Manutenção</t>
  </si>
  <si>
    <t>Transportes</t>
  </si>
  <si>
    <t>Material de Consumo</t>
  </si>
  <si>
    <t>Seguros</t>
  </si>
  <si>
    <t>Treinamento</t>
  </si>
  <si>
    <t>Variação Monetária</t>
  </si>
  <si>
    <t>Perdas</t>
  </si>
  <si>
    <t>Diversos</t>
  </si>
  <si>
    <t>Taxas</t>
  </si>
  <si>
    <t>RS</t>
  </si>
  <si>
    <t>Descrição</t>
  </si>
  <si>
    <t>Conta</t>
  </si>
  <si>
    <t>Código</t>
  </si>
  <si>
    <t>Empresa</t>
  </si>
  <si>
    <t>VENDA MERCADORIA _x000D_</t>
  </si>
  <si>
    <t>REMESSA DE LOCACAO _x000D_</t>
  </si>
  <si>
    <t>COBRANCA DE LOCACAO _x000D_</t>
  </si>
  <si>
    <t>DEVOLUCAO EM GARANTIA _x000D_</t>
  </si>
  <si>
    <t>TRANSPOSICAO DE ESTOQUE _x000D_</t>
  </si>
  <si>
    <t>REMESSA DE MOSTRUARIO _x000D_</t>
  </si>
  <si>
    <t>VENDA DE MERCADORIA CS _x000D_</t>
  </si>
  <si>
    <t>COBRANCA DE LOCACAO - REIDI _x000D_</t>
  </si>
  <si>
    <t>VENDA MERCADORIA - REIDI _x000D_</t>
  </si>
  <si>
    <t>VENDA DE MERCADORIA CS - REIDI _x000D_</t>
  </si>
  <si>
    <t>VENDA DE MERCADORIA CS - ISENTO DE IMPOS _x000D_</t>
  </si>
  <si>
    <t>ESTORNO DE CREDITOS _x000D_</t>
  </si>
  <si>
    <t>LICENCIAMENTO DE SOFTWARE _x000D_</t>
  </si>
  <si>
    <t>PACOTE DE SERVICOS _x000D_</t>
  </si>
  <si>
    <t>TRANSFERENCIA MERCADORIAS _x000D_</t>
  </si>
  <si>
    <t>TRANSFERENCIA C/SUBSTITUICAO TRIBUTARIA _x000D_</t>
  </si>
  <si>
    <t>DEVOLUCAO COMPRA MERCADORIA _x000D_</t>
  </si>
  <si>
    <t>VENDA COM SUBSTITUICAO TRIBUTARIA _x000D_</t>
  </si>
  <si>
    <t>VENDA P/EXPORTACAO (TRADING) _x000D_</t>
  </si>
  <si>
    <t>VENDA ATIVO IMOBILIZADO _x000D_</t>
  </si>
  <si>
    <t>TRANSFERENCIA DO ATIVO IMOBILIZADO _x000D_</t>
  </si>
  <si>
    <t>RETORNO DE MERCADORIA P/CONSERTO _x000D_</t>
  </si>
  <si>
    <t>REMESSA DE EMPRESTIMO - ATIVO _x000D_</t>
  </si>
  <si>
    <t>BONIFICACAO, DOACAO E BRINDES _x000D_</t>
  </si>
  <si>
    <t>DEMONSTRACAO _x000D_</t>
  </si>
  <si>
    <t>REMESSA PARA CONSERTO _x000D_</t>
  </si>
  <si>
    <t>SERVICO - TREINAMENTO _x000D_</t>
  </si>
  <si>
    <t>OUTRAS SAIDAS _x000D_</t>
  </si>
  <si>
    <t>SERVICOS GERAL _x000D_</t>
  </si>
  <si>
    <t>Origem</t>
  </si>
  <si>
    <t>Tipo Receita</t>
  </si>
  <si>
    <t>Venda</t>
  </si>
  <si>
    <t>Locação</t>
  </si>
  <si>
    <t>Peças</t>
  </si>
  <si>
    <t>Software</t>
  </si>
  <si>
    <t>Venda Ativo</t>
  </si>
  <si>
    <t>Serviços</t>
  </si>
  <si>
    <t>Transferência</t>
  </si>
  <si>
    <t>Estorno</t>
  </si>
  <si>
    <t>Compra</t>
  </si>
  <si>
    <t>Doação</t>
  </si>
  <si>
    <t>Estado</t>
  </si>
  <si>
    <t>Escritório</t>
  </si>
  <si>
    <t>AC</t>
  </si>
  <si>
    <t>MT</t>
  </si>
  <si>
    <t>AL</t>
  </si>
  <si>
    <t>BSB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</si>
  <si>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</si>
  <si>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</si>
  <si>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</si>
  <si>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</si>
  <si>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</si>
  <si>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</si>
  <si>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</si>
  <si>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</si>
  <si>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</si>
  <si>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</si>
  <si>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PA</t>
  </si>
  <si>
    <t>PE</t>
  </si>
  <si>
    <t>PI</t>
  </si>
  <si>
    <t>PR</t>
  </si>
  <si>
    <t>RJ</t>
  </si>
  <si>
    <t>RN</t>
  </si>
  <si>
    <t>RO</t>
  </si>
  <si>
    <t>RR</t>
  </si>
  <si>
    <t>SC</t>
  </si>
  <si>
    <t>SE</t>
  </si>
  <si>
    <t>SP</t>
  </si>
  <si>
    <t>TO</t>
  </si>
  <si>
    <t>EX</t>
  </si>
  <si>
    <t>PB</t>
  </si>
  <si>
    <t>COD_PLANO</t>
  </si>
  <si>
    <t>Plano</t>
  </si>
  <si>
    <t>Reduz</t>
  </si>
  <si>
    <t>Grau</t>
  </si>
  <si>
    <t>Superior</t>
  </si>
  <si>
    <t>Região</t>
  </si>
  <si>
    <t>1.20</t>
  </si>
  <si>
    <t>VENDAS - REGIAO</t>
  </si>
  <si>
    <t>A</t>
  </si>
  <si>
    <t>1.20.001</t>
  </si>
  <si>
    <t>VENDAS PR</t>
  </si>
  <si>
    <t>2.01</t>
  </si>
  <si>
    <t>1.20.002</t>
  </si>
  <si>
    <t>VENDAS SC</t>
  </si>
  <si>
    <t>2.02</t>
  </si>
  <si>
    <t>1.20.003</t>
  </si>
  <si>
    <t>VENDAS RS</t>
  </si>
  <si>
    <t>2.03</t>
  </si>
  <si>
    <t>1.20.004</t>
  </si>
  <si>
    <t>VENDAS SP1</t>
  </si>
  <si>
    <t>2.04</t>
  </si>
  <si>
    <t>1.20.005</t>
  </si>
  <si>
    <t>VENDAS SP2</t>
  </si>
  <si>
    <t>2.05</t>
  </si>
  <si>
    <t>1.20.007</t>
  </si>
  <si>
    <t>VENDAS NCO</t>
  </si>
  <si>
    <t>2.06</t>
  </si>
  <si>
    <t>1.20.008</t>
  </si>
  <si>
    <t>VENDAS NE</t>
  </si>
  <si>
    <t>2.07</t>
  </si>
  <si>
    <t>1.20.009</t>
  </si>
  <si>
    <t>VENDAS MG</t>
  </si>
  <si>
    <t>2.08</t>
  </si>
  <si>
    <t>1.20.010</t>
  </si>
  <si>
    <t>VENDAS RJ</t>
  </si>
  <si>
    <t>2.09</t>
  </si>
  <si>
    <t>1.20.012</t>
  </si>
  <si>
    <t>VENDAS MT</t>
  </si>
  <si>
    <t>2.11</t>
  </si>
  <si>
    <t>1.21</t>
  </si>
  <si>
    <t>VENDAS - AREA DE NEGOCIO</t>
  </si>
  <si>
    <t>C</t>
  </si>
  <si>
    <t>1.21.001</t>
  </si>
  <si>
    <t>BU 26 - SURVEYING &amp; ENGINEERING</t>
  </si>
  <si>
    <t>1.21.002</t>
  </si>
  <si>
    <t>BU 27 - CONSTRUCTION TOOLS</t>
  </si>
  <si>
    <t>1.21.003</t>
  </si>
  <si>
    <t>BU 29 - MACHINE CONTROL CONSTRUCTION</t>
  </si>
  <si>
    <t>1.21.005</t>
  </si>
  <si>
    <t>BU 45 - SOLUTIONS</t>
  </si>
  <si>
    <t>1.21.006</t>
  </si>
  <si>
    <t>BU 47 - CONSTRUCTION &amp; ENGINEERING</t>
  </si>
  <si>
    <t>1.21.007</t>
  </si>
  <si>
    <t>BU 53 - GEOSPATIAL SOLUTIONS DIVISION</t>
  </si>
  <si>
    <t>1.21.008</t>
  </si>
  <si>
    <t>BU 62 - MEASURING TOOLS</t>
  </si>
  <si>
    <t>1.21.009</t>
  </si>
  <si>
    <t>61 - RH/IT/F&amp;C</t>
  </si>
  <si>
    <t>1.21.010</t>
  </si>
  <si>
    <t>BU 66 - TERRESTRIAL LASER SCANNING</t>
  </si>
  <si>
    <t>1.22</t>
  </si>
  <si>
    <t>CENTRO DE SERVICOS - REGIAO</t>
  </si>
  <si>
    <t>1.22.001</t>
  </si>
  <si>
    <t>CENTRO DE SERVICOS - PR</t>
  </si>
  <si>
    <t>1.22.002</t>
  </si>
  <si>
    <t>CENTRO DE SERVICOS - SC</t>
  </si>
  <si>
    <t>1.22.003</t>
  </si>
  <si>
    <t>CENTRO DE SERVICOS - RS</t>
  </si>
  <si>
    <t>1.22.004</t>
  </si>
  <si>
    <t>CENTRO DE SERVICOS - SP1</t>
  </si>
  <si>
    <t>1.22.005</t>
  </si>
  <si>
    <t>CENTRO DE SERVICOS - SP2</t>
  </si>
  <si>
    <t>1.22.007</t>
  </si>
  <si>
    <t>CENTRO DE SERVICOS - NCO</t>
  </si>
  <si>
    <t>1.22.008</t>
  </si>
  <si>
    <t>CENTRO DE SERVICOS - NE</t>
  </si>
  <si>
    <t>1.22.009</t>
  </si>
  <si>
    <t>CENTRO DE SERVICOS - MG</t>
  </si>
  <si>
    <t>1.22.010</t>
  </si>
  <si>
    <t>CENTRO DE SERVICOS - RJ</t>
  </si>
  <si>
    <t>1.22.011</t>
  </si>
  <si>
    <t>CENTRO DE SERVICOS - EX</t>
  </si>
  <si>
    <t>2.10</t>
  </si>
  <si>
    <t>1.22.012</t>
  </si>
  <si>
    <t>CENTRO DE SERVICOS - MT</t>
  </si>
  <si>
    <t>1.23</t>
  </si>
  <si>
    <t>SUPORTE TECNICO - REGIAO</t>
  </si>
  <si>
    <t>1.23.001</t>
  </si>
  <si>
    <t>SUPORTE PR</t>
  </si>
  <si>
    <t>1.23.002</t>
  </si>
  <si>
    <t>SUPORTE SC</t>
  </si>
  <si>
    <t>1.23.003</t>
  </si>
  <si>
    <t>SUPORTE RS</t>
  </si>
  <si>
    <t>1.23.004</t>
  </si>
  <si>
    <t>SUPORTE SP1</t>
  </si>
  <si>
    <t>1.23.005</t>
  </si>
  <si>
    <t>SUPORTE SP2</t>
  </si>
  <si>
    <t>1.23.007</t>
  </si>
  <si>
    <t>SUPORTE NCO</t>
  </si>
  <si>
    <t>1.23.008</t>
  </si>
  <si>
    <t>SUPORTE NE</t>
  </si>
  <si>
    <t>1.23.009</t>
  </si>
  <si>
    <t>SUPORTE MG</t>
  </si>
  <si>
    <t>1.23.010</t>
  </si>
  <si>
    <t>SUPORTE RJ</t>
  </si>
  <si>
    <t>1.23.011</t>
  </si>
  <si>
    <t>SUPORTE EX</t>
  </si>
  <si>
    <t>1.23.012</t>
  </si>
  <si>
    <t>SUPORTE MT</t>
  </si>
  <si>
    <t>1.24</t>
  </si>
  <si>
    <t>LOCACAO - REGIAO</t>
  </si>
  <si>
    <t>1.24.001</t>
  </si>
  <si>
    <t>LOCACAO PR</t>
  </si>
  <si>
    <t>1.24.002</t>
  </si>
  <si>
    <t>LOCACAO SC</t>
  </si>
  <si>
    <t>1.24.003</t>
  </si>
  <si>
    <t>LOCACAO RS</t>
  </si>
  <si>
    <t>1.24.004</t>
  </si>
  <si>
    <t>LOCACAO SP1</t>
  </si>
  <si>
    <t>1.24.005</t>
  </si>
  <si>
    <t>LOCACAO SP2</t>
  </si>
  <si>
    <t>1.24.007</t>
  </si>
  <si>
    <t>LOCACAO NCO</t>
  </si>
  <si>
    <t>1.24.008</t>
  </si>
  <si>
    <t>LOCACAO NE</t>
  </si>
  <si>
    <t>1.24.009</t>
  </si>
  <si>
    <t>LOCACAO MG</t>
  </si>
  <si>
    <t>1.24.010</t>
  </si>
  <si>
    <t>LOCACAO RJ</t>
  </si>
  <si>
    <t>1.24.011</t>
  </si>
  <si>
    <t>LOCACAO EX</t>
  </si>
  <si>
    <t>1.24.012</t>
  </si>
  <si>
    <t>LOCACAO MT</t>
  </si>
  <si>
    <t>1.25</t>
  </si>
  <si>
    <t>DESENVOLVIMENTO DE SOFTWARE - REGIAO</t>
  </si>
  <si>
    <t>1.25.001</t>
  </si>
  <si>
    <t>DESENVOLVIMENTO DE SOFTWARE - PR</t>
  </si>
  <si>
    <t>1.25.002</t>
  </si>
  <si>
    <t>DESENVOLVIMENTO DE SOFTWARE - SC</t>
  </si>
  <si>
    <t>1.25.003</t>
  </si>
  <si>
    <t>DESENVOLVIMENTO DE SOFTWARE - RS</t>
  </si>
  <si>
    <t>1.25.004</t>
  </si>
  <si>
    <t>DESENVOLVIMENTO DE SOFTWARE - SP1</t>
  </si>
  <si>
    <t>1.25.005</t>
  </si>
  <si>
    <t>DESENVOLVIMENTO DE SOFTWARE - SP2</t>
  </si>
  <si>
    <t>1.25.007</t>
  </si>
  <si>
    <t>DESENVOLVIMENTO DE SOFTWARE - NCO</t>
  </si>
  <si>
    <t>1.25.008</t>
  </si>
  <si>
    <t>DESENVOLVIMENTO DE SOFTWARE - NE</t>
  </si>
  <si>
    <t>1.25.009</t>
  </si>
  <si>
    <t>DESENVOLVIMENTO DE SOFTWARE - MG</t>
  </si>
  <si>
    <t>1.25.010</t>
  </si>
  <si>
    <t>DESENVOLVIMENTO DE SOFTWARE - RJ</t>
  </si>
  <si>
    <t>1.25.011</t>
  </si>
  <si>
    <t>DESENVOLVIMENTO DE SOFTWARE - EX</t>
  </si>
  <si>
    <t>1.25.012</t>
  </si>
  <si>
    <t>DESENVOLVIMENTO DE SOFTWARE - MT</t>
  </si>
  <si>
    <t>1.26</t>
  </si>
  <si>
    <t>ADMINISTRATIVO - REGIAO</t>
  </si>
  <si>
    <t>1.26.001</t>
  </si>
  <si>
    <t>ADMINISTRATIVO  - PR</t>
  </si>
  <si>
    <t>1.26.004</t>
  </si>
  <si>
    <t>ADMINISTRATIVO - SP1</t>
  </si>
  <si>
    <t>1.28</t>
  </si>
  <si>
    <t>MARKETING - REGIAO</t>
  </si>
  <si>
    <t>1.28.001</t>
  </si>
  <si>
    <t>MARKETING - PR</t>
  </si>
  <si>
    <t>1.28.004</t>
  </si>
  <si>
    <t>MARKETING - SP1</t>
  </si>
  <si>
    <t>REGIAO PR</t>
  </si>
  <si>
    <t>B</t>
  </si>
  <si>
    <t>REGIAO SC</t>
  </si>
  <si>
    <t>REGIAO RS</t>
  </si>
  <si>
    <t>REGIAO SP1</t>
  </si>
  <si>
    <t>REGIAO SP2</t>
  </si>
  <si>
    <t>REGIAO NCO</t>
  </si>
  <si>
    <t>REGIAO NE</t>
  </si>
  <si>
    <t>REGIAO MG</t>
  </si>
  <si>
    <t>REGIAO RJ</t>
  </si>
  <si>
    <t>REGIAO EX</t>
  </si>
  <si>
    <t>REGIAO MT</t>
  </si>
  <si>
    <t>DR2016</t>
  </si>
  <si>
    <t>Pessoas</t>
  </si>
  <si>
    <t>Outros</t>
  </si>
  <si>
    <t>Serviços Terceiros</t>
  </si>
  <si>
    <t>MarkCom</t>
  </si>
  <si>
    <t>Aquisições</t>
  </si>
  <si>
    <t>Resultado Financeiro</t>
  </si>
  <si>
    <t>VENDA MERCADORIA - ISENTO DE IMPOSTOS _x000D_</t>
  </si>
  <si>
    <t>SAIDA - ADMISSAO TEMPORARIA _x000D_</t>
  </si>
  <si>
    <t>DEVOLUCAO DE EMPRESTIMO _x000D_</t>
  </si>
  <si>
    <t>REMESSA EXPOSICAO / FEIRAS _x000D_</t>
  </si>
  <si>
    <t>REMESSA EM GARANTIA _x000D_</t>
  </si>
  <si>
    <t>VENDA ENTREGA FUTURA _x000D_</t>
  </si>
  <si>
    <t>SIMPLES REMESSA _x000D_</t>
  </si>
  <si>
    <t>Mês:</t>
  </si>
  <si>
    <t>Diário Leica:</t>
  </si>
  <si>
    <t>Diário Manfra:</t>
  </si>
  <si>
    <t>DRE Leica:</t>
  </si>
  <si>
    <t>DRE Manfra:</t>
  </si>
  <si>
    <t>41010100001</t>
  </si>
  <si>
    <t>41010100002</t>
  </si>
  <si>
    <t>45010100001</t>
  </si>
  <si>
    <t>45010100002</t>
  </si>
  <si>
    <t>45010100003</t>
  </si>
  <si>
    <t>45010100004</t>
  </si>
  <si>
    <t>45010100005</t>
  </si>
  <si>
    <t>45010100006</t>
  </si>
  <si>
    <t>45010100007</t>
  </si>
  <si>
    <t>45010100008</t>
  </si>
  <si>
    <t>45010100009</t>
  </si>
  <si>
    <t>45010100010</t>
  </si>
  <si>
    <t>45010100011</t>
  </si>
  <si>
    <t>45010100012</t>
  </si>
  <si>
    <t>45010100013</t>
  </si>
  <si>
    <t>45010100014</t>
  </si>
  <si>
    <t>45010100015</t>
  </si>
  <si>
    <t>45010100016</t>
  </si>
  <si>
    <t>45010100017</t>
  </si>
  <si>
    <t>45010100018</t>
  </si>
  <si>
    <t>45010100019</t>
  </si>
  <si>
    <t>45010100020</t>
  </si>
  <si>
    <t>45010100021</t>
  </si>
  <si>
    <t>45010100022</t>
  </si>
  <si>
    <t>45010100023</t>
  </si>
  <si>
    <t>45010100024</t>
  </si>
  <si>
    <t>45010100025</t>
  </si>
  <si>
    <t>45010100026</t>
  </si>
  <si>
    <t>45010100027</t>
  </si>
  <si>
    <t>45010100028</t>
  </si>
  <si>
    <t>45010100029</t>
  </si>
  <si>
    <t>45010100030</t>
  </si>
  <si>
    <t>45010100031</t>
  </si>
  <si>
    <t>45010100032</t>
  </si>
  <si>
    <t>45010100033</t>
  </si>
  <si>
    <t>45010100034</t>
  </si>
  <si>
    <t>45010100037</t>
  </si>
  <si>
    <t>45010100038</t>
  </si>
  <si>
    <t>45010100039</t>
  </si>
  <si>
    <t>45020100001</t>
  </si>
  <si>
    <t>45020100002</t>
  </si>
  <si>
    <t>45020100003</t>
  </si>
  <si>
    <t>45020100005</t>
  </si>
  <si>
    <t>45020100006</t>
  </si>
  <si>
    <t>45020100007</t>
  </si>
  <si>
    <t>45020100008</t>
  </si>
  <si>
    <t>45020100009</t>
  </si>
  <si>
    <t>45020100010</t>
  </si>
  <si>
    <t>45020100011</t>
  </si>
  <si>
    <t>45020100012</t>
  </si>
  <si>
    <t>45020100013</t>
  </si>
  <si>
    <t>45020100014</t>
  </si>
  <si>
    <t>45020100016</t>
  </si>
  <si>
    <t>45020100017</t>
  </si>
  <si>
    <t>45020100018</t>
  </si>
  <si>
    <t>45020100019</t>
  </si>
  <si>
    <t>45020100020</t>
  </si>
  <si>
    <t>45020100021</t>
  </si>
  <si>
    <t>45020100022</t>
  </si>
  <si>
    <t>45020100023</t>
  </si>
  <si>
    <t>45020100025</t>
  </si>
  <si>
    <t>45020100027</t>
  </si>
  <si>
    <t>45020100031</t>
  </si>
  <si>
    <t>45020100032</t>
  </si>
  <si>
    <t>45020100034</t>
  </si>
  <si>
    <t>45020100038</t>
  </si>
  <si>
    <t>45030100001</t>
  </si>
  <si>
    <t>45030100002</t>
  </si>
  <si>
    <t>45030100003</t>
  </si>
  <si>
    <t>45030100005</t>
  </si>
  <si>
    <t>45030100006</t>
  </si>
  <si>
    <t>45030100007</t>
  </si>
  <si>
    <t>45030100008</t>
  </si>
  <si>
    <t>45030100009</t>
  </si>
  <si>
    <t>45030100011</t>
  </si>
  <si>
    <t>45030100012</t>
  </si>
  <si>
    <t>45030100013</t>
  </si>
  <si>
    <t>45030100014</t>
  </si>
  <si>
    <t>45030100016</t>
  </si>
  <si>
    <t>45030100018</t>
  </si>
  <si>
    <t>45030100020</t>
  </si>
  <si>
    <t>45030100021</t>
  </si>
  <si>
    <t>45030100022</t>
  </si>
  <si>
    <t>45030100023</t>
  </si>
  <si>
    <t>45030100025</t>
  </si>
  <si>
    <t>45030100026</t>
  </si>
  <si>
    <t>45030100027</t>
  </si>
  <si>
    <t>45030100032</t>
  </si>
  <si>
    <t>45030100034</t>
  </si>
  <si>
    <t>45030100039</t>
  </si>
  <si>
    <t>45040100001</t>
  </si>
  <si>
    <t>45040100002</t>
  </si>
  <si>
    <t>45040100003</t>
  </si>
  <si>
    <t>45040100005</t>
  </si>
  <si>
    <t>45040100006</t>
  </si>
  <si>
    <t>45040100007</t>
  </si>
  <si>
    <t>45040100008</t>
  </si>
  <si>
    <t>45040100009</t>
  </si>
  <si>
    <t>45040100016</t>
  </si>
  <si>
    <t>45040100020</t>
  </si>
  <si>
    <t>45040100025</t>
  </si>
  <si>
    <t>45040100034</t>
  </si>
  <si>
    <t>45090100004</t>
  </si>
  <si>
    <t>45090100005</t>
  </si>
  <si>
    <t>45090100006</t>
  </si>
  <si>
    <t>51010100001</t>
  </si>
  <si>
    <t>51010100002</t>
  </si>
  <si>
    <t>51010100003</t>
  </si>
  <si>
    <t>51010100004</t>
  </si>
  <si>
    <t>51010100005</t>
  </si>
  <si>
    <t>51010100006</t>
  </si>
  <si>
    <t>52010100001</t>
  </si>
  <si>
    <t>52010100002</t>
  </si>
  <si>
    <t>52010100003</t>
  </si>
  <si>
    <t>52010100004</t>
  </si>
  <si>
    <t>52010100005</t>
  </si>
  <si>
    <t>61010100002</t>
  </si>
  <si>
    <t>71010100001</t>
  </si>
  <si>
    <t>71010100002</t>
  </si>
  <si>
    <t>45040100030</t>
  </si>
  <si>
    <t>45040100021</t>
  </si>
  <si>
    <t>45020100033</t>
  </si>
  <si>
    <t>45040100031</t>
  </si>
  <si>
    <t>45030100028</t>
  </si>
  <si>
    <t>45030100038</t>
  </si>
  <si>
    <t>45030100017</t>
  </si>
  <si>
    <t>45020100039</t>
  </si>
  <si>
    <t>45020100028</t>
  </si>
  <si>
    <t>45030100033</t>
  </si>
  <si>
    <t>45010100035</t>
  </si>
  <si>
    <t>Selling expenses</t>
  </si>
  <si>
    <t xml:space="preserve">Costs Freight&amp;Duty on Sales </t>
  </si>
  <si>
    <t>Customer Support (CS)</t>
  </si>
  <si>
    <t>Rental Amortisation (in HFM on Inv.Adj.)</t>
  </si>
  <si>
    <t>G&amp;A Support Functions (IT, F&amp;C, HR)</t>
  </si>
  <si>
    <t>Marketing Communications</t>
  </si>
  <si>
    <t>Extraordinary Income/Expense (Divisions)</t>
  </si>
  <si>
    <t>Interest Exp - 3rd Party</t>
  </si>
  <si>
    <t>Interest Exp - Banks</t>
  </si>
  <si>
    <t>SAP</t>
  </si>
  <si>
    <t>DRE</t>
  </si>
  <si>
    <t>Other Expenses</t>
  </si>
  <si>
    <t>Travelling expenses</t>
  </si>
  <si>
    <t>Legal fees</t>
  </si>
  <si>
    <t>Insurance Expenses</t>
  </si>
  <si>
    <t>Telecomunica &amp; Postage exp</t>
  </si>
  <si>
    <t>Depreciation Fixed Assets Filial</t>
  </si>
  <si>
    <t>Utilities</t>
  </si>
  <si>
    <t xml:space="preserve">Maintenance </t>
  </si>
  <si>
    <t>leasing</t>
  </si>
  <si>
    <t>Other Personnel Expenses</t>
  </si>
  <si>
    <t>Other Social Benefits</t>
  </si>
  <si>
    <t>Wages and Salaries</t>
  </si>
  <si>
    <t>G&amp;A</t>
  </si>
  <si>
    <t>A/R related Expenses</t>
  </si>
  <si>
    <t>Commisions to Agents</t>
  </si>
  <si>
    <t>DRE+Loc</t>
  </si>
  <si>
    <t>Travelling</t>
  </si>
  <si>
    <t>Telecomunica &amp; Postage</t>
  </si>
  <si>
    <t>Depreciation Fixed Assets Matriz</t>
  </si>
  <si>
    <t>Temporary Employee costs</t>
  </si>
  <si>
    <t>Other expenses</t>
  </si>
  <si>
    <t>Travelling exp</t>
  </si>
  <si>
    <t>Selling Expenses</t>
  </si>
  <si>
    <t>Insurance expenses</t>
  </si>
  <si>
    <t>Rental Amortization expenses</t>
  </si>
  <si>
    <t>Advertising &amp; Promotion</t>
  </si>
  <si>
    <t>Freight &amp; Duty Expenses</t>
  </si>
  <si>
    <t>Loc</t>
  </si>
  <si>
    <t>DRE-CS-Loc</t>
  </si>
  <si>
    <t>DRE-CS</t>
  </si>
  <si>
    <t>Depreciation fixed assets</t>
  </si>
  <si>
    <t>Leasing</t>
  </si>
  <si>
    <t>Other social benefits</t>
  </si>
  <si>
    <t>CS</t>
  </si>
  <si>
    <t>Customer Support (OPEX)</t>
  </si>
  <si>
    <t>Other Operating Expenses</t>
  </si>
  <si>
    <t>Variação Monetaria Ativa - DRE Receitas</t>
  </si>
  <si>
    <t>Currency Trading Income</t>
  </si>
  <si>
    <t>Currency Trading Expenses</t>
  </si>
  <si>
    <t>Acc Receivable write offs / Provisions</t>
  </si>
  <si>
    <t>Currency Trading Gain</t>
  </si>
  <si>
    <t>Currency Trading Loss</t>
  </si>
  <si>
    <t>Misc. Operating Income</t>
  </si>
  <si>
    <t>DRE Receitas - Outras Receitas</t>
  </si>
  <si>
    <t>Extraordinary Expenses</t>
  </si>
  <si>
    <t>Misc. Operating Expenses</t>
  </si>
  <si>
    <t>DRE Receitas - ISS Serviços ICO</t>
  </si>
  <si>
    <t xml:space="preserve">Misc. Operating Exp </t>
  </si>
  <si>
    <t>Separar despesas com Devex e Solutions</t>
  </si>
  <si>
    <t>Variação Monetaria Passiva - DRE Receitas + Var. Cambial ICO</t>
  </si>
  <si>
    <t>Variances</t>
  </si>
  <si>
    <t>Depreciação Locação</t>
  </si>
  <si>
    <t>Cash and equivalents</t>
  </si>
  <si>
    <t>Time deposit Banks</t>
  </si>
  <si>
    <t>Cash in transit</t>
  </si>
  <si>
    <t>Account Receivables - 3rd Pty Gross</t>
  </si>
  <si>
    <t>Bad Debt Provisions (for A/R - interest bearing)</t>
  </si>
  <si>
    <t>Account Receivables - ICO-Leica AG</t>
  </si>
  <si>
    <t>Prepayments (VAT)</t>
  </si>
  <si>
    <t>Other Receivables</t>
  </si>
  <si>
    <t>Other non current Receivables</t>
  </si>
  <si>
    <t>Deferred Taxes Assets</t>
  </si>
  <si>
    <t>Inventory Goods in Transit</t>
  </si>
  <si>
    <t>Gr Inventories-Finished Goods</t>
  </si>
  <si>
    <t>Inventory Rental Business</t>
  </si>
  <si>
    <t>Provisions- Finished Goods</t>
  </si>
  <si>
    <t>Assembled Workforce</t>
  </si>
  <si>
    <t>Goodwill Manfra&amp;Devex</t>
  </si>
  <si>
    <t>Goodwill Sisgraph</t>
  </si>
  <si>
    <t>Account Payables - 3rd Party</t>
  </si>
  <si>
    <t>Account Payables - ICO LGS</t>
  </si>
  <si>
    <t>Other Current Payables - non interest bearing</t>
  </si>
  <si>
    <t>Accured Compensation</t>
  </si>
  <si>
    <t>Current Tax Provision</t>
  </si>
  <si>
    <t>Accrued Expenses / Income</t>
  </si>
  <si>
    <t>Provisions for additional acquisition pay</t>
  </si>
  <si>
    <t>ICO Loan Payable</t>
  </si>
  <si>
    <t>Change from Investments</t>
  </si>
  <si>
    <t>Retained Earnings</t>
  </si>
  <si>
    <t>Group Adjm Internal Merger</t>
  </si>
  <si>
    <t>Sales - 3rd Party Mercadoria</t>
  </si>
  <si>
    <t>BMC - 3rd Party Mercadoria</t>
  </si>
  <si>
    <t>Freight and Duty Exp</t>
  </si>
  <si>
    <t>Rental Amortization Leica</t>
  </si>
  <si>
    <t>Gain/Loss on Disposals of Fixed Assets</t>
  </si>
  <si>
    <t>Sales - ICO Non-Operating Exp/Inc</t>
  </si>
  <si>
    <t>Other Financial Income</t>
  </si>
  <si>
    <t>Interest Income - Banks</t>
  </si>
  <si>
    <t>Interest Income - 3rd Party</t>
  </si>
  <si>
    <t>Interest Expense - Banks</t>
  </si>
  <si>
    <t>Interest Expense - 3rd Party</t>
  </si>
  <si>
    <t>Income Tax benefit/expense -Deferred</t>
  </si>
  <si>
    <t>ICO Dividend Income</t>
  </si>
  <si>
    <t>Account</t>
  </si>
  <si>
    <t>Description</t>
  </si>
  <si>
    <t>Hyperion</t>
  </si>
  <si>
    <t>FA Furniture</t>
  </si>
  <si>
    <t>FA Motor Vehicles</t>
  </si>
  <si>
    <t>FA PC/Software &amp; Equipment</t>
  </si>
  <si>
    <t>Depn Furniture</t>
  </si>
  <si>
    <t>Depn Motor Vehicles</t>
  </si>
  <si>
    <t>Depn PC/Software &amp; Equipment</t>
  </si>
  <si>
    <t>32010100002</t>
  </si>
  <si>
    <t>32010100003</t>
  </si>
  <si>
    <t>31010800011</t>
  </si>
  <si>
    <t xml:space="preserve">Misc. Operating Inc </t>
  </si>
  <si>
    <t>DRCS16</t>
  </si>
  <si>
    <t>DRLC16</t>
  </si>
  <si>
    <t>BMC</t>
  </si>
  <si>
    <t>Acc. Receivable write offs / Provisions</t>
  </si>
  <si>
    <t xml:space="preserve">Amortisation PPA </t>
  </si>
  <si>
    <t>45010100041</t>
  </si>
  <si>
    <t>45020100029</t>
  </si>
  <si>
    <t>45020100041</t>
  </si>
  <si>
    <t>45030100040</t>
  </si>
  <si>
    <t>45030100041</t>
  </si>
  <si>
    <t>45040100047</t>
  </si>
  <si>
    <t>45020100026</t>
  </si>
  <si>
    <t>45040100027</t>
  </si>
  <si>
    <t>45030100010</t>
  </si>
  <si>
    <t>ADM</t>
  </si>
  <si>
    <t>S&amp;E</t>
  </si>
  <si>
    <t>CT</t>
  </si>
  <si>
    <t>MCC</t>
  </si>
  <si>
    <t>SOL</t>
  </si>
  <si>
    <t>GSD</t>
  </si>
  <si>
    <t>TLS</t>
  </si>
  <si>
    <t>SER</t>
  </si>
  <si>
    <t>CORPORATIVO</t>
  </si>
  <si>
    <t>SUP</t>
  </si>
  <si>
    <t>LOC</t>
  </si>
  <si>
    <t>VEN</t>
  </si>
  <si>
    <t>RoSA</t>
  </si>
  <si>
    <t>ROSA</t>
  </si>
  <si>
    <t>VENDAS ROSA</t>
  </si>
  <si>
    <t>Region</t>
  </si>
  <si>
    <t>Dept</t>
  </si>
  <si>
    <t>1.20.013</t>
  </si>
  <si>
    <t>2.12</t>
  </si>
  <si>
    <t>REGIAO RoSA</t>
  </si>
  <si>
    <t>1.29</t>
  </si>
  <si>
    <t>CORPORATIVO - REGIAO</t>
  </si>
  <si>
    <t>1.29.001</t>
  </si>
  <si>
    <t>Tipo</t>
  </si>
  <si>
    <t>Ordem</t>
  </si>
  <si>
    <t>3101010001</t>
  </si>
  <si>
    <t>3101010001 - RECEITAS VENDAS MERCADORIAS- MATRIZ</t>
  </si>
  <si>
    <t>RM</t>
  </si>
  <si>
    <t>MANFRA</t>
  </si>
  <si>
    <t>Receita Vendas Mercadorias</t>
  </si>
  <si>
    <t>3101010002</t>
  </si>
  <si>
    <t>3101010002 - RECEITAS C/SERV. PRESTADOS-MATRIZ</t>
  </si>
  <si>
    <t>Receitas Vendas Serviços</t>
  </si>
  <si>
    <t>3101010003</t>
  </si>
  <si>
    <t>3101010003 - RECEITAS VENDAS MERCADORIAS-FILIAL RS</t>
  </si>
  <si>
    <t>DM</t>
  </si>
  <si>
    <t>Deduções Vendas de Mercadorias</t>
  </si>
  <si>
    <t>3101010004</t>
  </si>
  <si>
    <t>3101010004 - RECEITAS C/SERVPRESTADOS- FILIAL RS</t>
  </si>
  <si>
    <t>DS</t>
  </si>
  <si>
    <t>Deduções Vendas Serviços</t>
  </si>
  <si>
    <t>3101010005</t>
  </si>
  <si>
    <t>3101010005 - RECEITA LOCACAO EQUIPAMENTOS-MATRIZ</t>
  </si>
  <si>
    <t>DV</t>
  </si>
  <si>
    <t>Devoluções Vendas</t>
  </si>
  <si>
    <t>3101010006</t>
  </si>
  <si>
    <t>3101010006 - RECEITA LOCACAO EQUIPAMENTO POA</t>
  </si>
  <si>
    <t>DD</t>
  </si>
  <si>
    <t>Devoluções Deduções</t>
  </si>
  <si>
    <t>3101010007</t>
  </si>
  <si>
    <t>3101010007 - RECEITAS VENDAS MERCADORIAS- FILIAL SC</t>
  </si>
  <si>
    <t>RA</t>
  </si>
  <si>
    <t>Receitas Vendas Ativos</t>
  </si>
  <si>
    <t>3101010008</t>
  </si>
  <si>
    <t>3101010008 - RECEITAS S/SERV. PRESTADOS - FILIAL SC</t>
  </si>
  <si>
    <t>3101010009</t>
  </si>
  <si>
    <t>3101010009 - RECEITAS LOCACAO EQUIPAMENTOS - FILIAL SC</t>
  </si>
  <si>
    <t>3101010010</t>
  </si>
  <si>
    <t>3101010010 - RECEITAS VENDAS MERCADORIAS- FILIAL MT</t>
  </si>
  <si>
    <t>3101010011</t>
  </si>
  <si>
    <t>3101010011 - RECEITAS LOCACAO EQUIPAMENTOS - FILIAL MT</t>
  </si>
  <si>
    <t>3101010012</t>
  </si>
  <si>
    <t>3101010012 - RECEITAS S/SERV. PRESTADOS - FILIAL MT</t>
  </si>
  <si>
    <t>3101010013</t>
  </si>
  <si>
    <t>3101010013 - RECEITAS VENDAS CENTRO DE SERVICO-MATRIZ</t>
  </si>
  <si>
    <t>3101010014</t>
  </si>
  <si>
    <t>3101010014 - RECEITAS SERVICOS CENTRO DE SERVICO-MATRIZ</t>
  </si>
  <si>
    <t>3101010015</t>
  </si>
  <si>
    <t>3101010015 - RECEITAS VENDAS CENTRO DE SERVICOS-FILIAL RS</t>
  </si>
  <si>
    <t>3101010016</t>
  </si>
  <si>
    <t>3101010016 - RECEITAS SERVICOS CENTRO DE SERVICOS-FILIAL RS</t>
  </si>
  <si>
    <t>3101010017</t>
  </si>
  <si>
    <t>3101010017 - RECEITAS VENDAS CENTRO DE SERVICOS-FILIAL MT</t>
  </si>
  <si>
    <t>3101010018</t>
  </si>
  <si>
    <t>3101010018 - RECEITAS SERVICOS CENTRO DE SERVICOS-FILIAL MT</t>
  </si>
  <si>
    <t>3101010019</t>
  </si>
  <si>
    <t>3101010019 - RECEITAS VENDAS CENTRO DE SERVICOS-FILIAL SC</t>
  </si>
  <si>
    <t>3101010020</t>
  </si>
  <si>
    <t>3101010020 - RECEITAS SERVICOS CENTRO DE SERVICOS-FILIAL SC</t>
  </si>
  <si>
    <t>3101010021</t>
  </si>
  <si>
    <t>3101010021 - RECEITAS DE COMISSOES ICO</t>
  </si>
  <si>
    <t>RI</t>
  </si>
  <si>
    <t>3101020001</t>
  </si>
  <si>
    <t>3101020001 - ICMS S/VENDAS - MATRIZ</t>
  </si>
  <si>
    <t>3101020002</t>
  </si>
  <si>
    <t>3101020002 - IPI S/VENDAS - MATRIZ</t>
  </si>
  <si>
    <t>3101020003</t>
  </si>
  <si>
    <t>3101020003 - ISS SERVICOS - MATRIZ</t>
  </si>
  <si>
    <t>3101020004</t>
  </si>
  <si>
    <t>3101020004 - COFINS S/ VENDAS - MATRIZ</t>
  </si>
  <si>
    <t>3101020005</t>
  </si>
  <si>
    <t>3101020005 - PIS S/ VENDAS - MATRIZ</t>
  </si>
  <si>
    <t>3101020006</t>
  </si>
  <si>
    <t>3101020006 - DEVOLUCOES DE VENDA - MATRIZ</t>
  </si>
  <si>
    <t>3101020007</t>
  </si>
  <si>
    <t>3101020007 - COFINS S/ SERVICOS - MATRIZ</t>
  </si>
  <si>
    <t>3101020008</t>
  </si>
  <si>
    <t>3101020008 - PIS S/ SERVICOS - MATRIZ</t>
  </si>
  <si>
    <t>3101020009</t>
  </si>
  <si>
    <t>3101020009 - ICMS S/VENDAS CENTRO DE SERVICOS - MATRIZ</t>
  </si>
  <si>
    <t>3101020010</t>
  </si>
  <si>
    <t>3101020010 - IPI S/VENDAS CENTRO DE SERVICOS - MATRIZ</t>
  </si>
  <si>
    <t>3101020011</t>
  </si>
  <si>
    <t>3101020011 - ISS S/CENTRO DE SERVICOS (OFICINA) - MATRIZ</t>
  </si>
  <si>
    <t>3101020012</t>
  </si>
  <si>
    <t>3101020012 - ICMS S/ VENDAS - FILIAL RS</t>
  </si>
  <si>
    <t>3101020013</t>
  </si>
  <si>
    <t>3101020013 - ICMS S/ VENDAS - FILIAL SC</t>
  </si>
  <si>
    <t>3101020014</t>
  </si>
  <si>
    <t>3101020014 - ICMS S/ VENDAS - FILIAL MT</t>
  </si>
  <si>
    <t>3101020015</t>
  </si>
  <si>
    <t>3101020015 - COFINS S/ VENDAS - FILIAL RS</t>
  </si>
  <si>
    <t>3101020016</t>
  </si>
  <si>
    <t>3101020016 - COFINS S/ VENDAS - FILIAL SC</t>
  </si>
  <si>
    <t>3101020018</t>
  </si>
  <si>
    <t>3101020018 - COFINS S/ VENDAS - FILIAL MT</t>
  </si>
  <si>
    <t>3101020019</t>
  </si>
  <si>
    <t>3101020019 - PIS S/ VENDAS - FILIAL RS</t>
  </si>
  <si>
    <t>3101020020</t>
  </si>
  <si>
    <t>3101020020 - PIS S/ VENDAS - FILIAL SC</t>
  </si>
  <si>
    <t>3101020021</t>
  </si>
  <si>
    <t>3101020021 - PIS S/ VENDAS - FILIAL MT</t>
  </si>
  <si>
    <t>3101020022</t>
  </si>
  <si>
    <t>3101020022 - DEVOLUCOES DE VENDA - FILIAL RS</t>
  </si>
  <si>
    <t>3101020023</t>
  </si>
  <si>
    <t>3101020023 - DEVOLUCOES DE VENDA - FILIAL SC</t>
  </si>
  <si>
    <t>3101020024</t>
  </si>
  <si>
    <t>3101020024 - DEVOLUCOES DE VENDA - FILIAL MT</t>
  </si>
  <si>
    <t>3101020025</t>
  </si>
  <si>
    <t>3101020025 - ICMS S/VENDAS CENTRO DE SERVICOS - FILIAL RS</t>
  </si>
  <si>
    <t>3101020026</t>
  </si>
  <si>
    <t>3101020026 - PIS S/VENDAS CENTRO DE SERVICOS - MATRIZ</t>
  </si>
  <si>
    <t>3101020027</t>
  </si>
  <si>
    <t>3101020027 - COFINS S/VENDAS CENTRO DE SERVICOS - MATRIZ</t>
  </si>
  <si>
    <t>3101020028</t>
  </si>
  <si>
    <t>3101020028 - ISS S/CENTRO DE SERVICOS (OFICINA) - FILIAL RS</t>
  </si>
  <si>
    <t>3101020029</t>
  </si>
  <si>
    <t>3101020029 - IPI S/ VENDA - FILIAL RS</t>
  </si>
  <si>
    <t>3101020030</t>
  </si>
  <si>
    <t>3101020030 - IPI S/ VENDA - FILIAL SC</t>
  </si>
  <si>
    <t>3101020031</t>
  </si>
  <si>
    <t>3101020031 - IPI S/ VENDA - FILIAL MT</t>
  </si>
  <si>
    <t>3101020032</t>
  </si>
  <si>
    <t>3101020032 - IPI S/VENDAS CENTRO DE SERVICOS - FILIAL RS</t>
  </si>
  <si>
    <t>3101020033</t>
  </si>
  <si>
    <t>3101020033 - ISS SERVICO - FILIAL RS</t>
  </si>
  <si>
    <t>3101020034</t>
  </si>
  <si>
    <t>3101020034 - ISS SERVICO - FILIAL SC</t>
  </si>
  <si>
    <t>3101020035</t>
  </si>
  <si>
    <t>3101020035 - ISS SERVICO - FILIAL MT</t>
  </si>
  <si>
    <t>3101020036</t>
  </si>
  <si>
    <t>3101020036 - COFINS S/ SERVICOS - FILIAL RS</t>
  </si>
  <si>
    <t>3101020037</t>
  </si>
  <si>
    <t>3101020037 - COFINS S/ SERVICOS - FILIAL SC</t>
  </si>
  <si>
    <t>3101020038</t>
  </si>
  <si>
    <t>3101020038 - COFINS S/ SERVICOS - FILIAL MT</t>
  </si>
  <si>
    <t>3101020039</t>
  </si>
  <si>
    <t>3101020039 - PIS S/ SERVICOS - FILIAL RS</t>
  </si>
  <si>
    <t>3101020040</t>
  </si>
  <si>
    <t>3101020040 - PIS S/ SERVICOS - FILIAL SC</t>
  </si>
  <si>
    <t>3101020041</t>
  </si>
  <si>
    <t>3101020041 - PIS S/ SERVICOS - FILIAL MT</t>
  </si>
  <si>
    <t>3101020042</t>
  </si>
  <si>
    <t>3101020042 - PIS S/VENDAS CENTRO DE SERVICOS - FILIAL RS</t>
  </si>
  <si>
    <t>3101020043</t>
  </si>
  <si>
    <t>3101020043 - COFINS S/VENDAS CENTRO DE SERVICOS - FILIAL RS</t>
  </si>
  <si>
    <t>3101020044</t>
  </si>
  <si>
    <t>3101020044 - PIS S/SEVICOS CENTRO DE SERVICOS - MATRIZ</t>
  </si>
  <si>
    <t>3101020045</t>
  </si>
  <si>
    <t>3101020045 - PIS S/SEVICOS CENTRO DE SERVICOS - FILIAL RS</t>
  </si>
  <si>
    <t>3101020046</t>
  </si>
  <si>
    <t>3101020046 - COFINS S/SEVICOS CENTRO DE SERVICOS - MATRIZ</t>
  </si>
  <si>
    <t>3101020047</t>
  </si>
  <si>
    <t>3101020047 - COFINS S/SEVICOS CENTRO DE SERVICOS - FILIAL RS</t>
  </si>
  <si>
    <t>3101020048</t>
  </si>
  <si>
    <t>3101020048 - PIS S/ LOCACAO EQUIPAMENTO - MATRIZ</t>
  </si>
  <si>
    <t>3101020049</t>
  </si>
  <si>
    <t>3101020049 - PIS S/ LOCACAO EQUIPAMENTO - FILIAL RS</t>
  </si>
  <si>
    <t>3101020050</t>
  </si>
  <si>
    <t>3101020050 - PIS S/ LOCACAO EQUIPAMENTO - FILIAL SC</t>
  </si>
  <si>
    <t>3101020051</t>
  </si>
  <si>
    <t>3101020051 - PIS S/ LOCACAO EQUIPAMENTO - FILIAL MT</t>
  </si>
  <si>
    <t>3101020052</t>
  </si>
  <si>
    <t>3101020052 - COFINS S/ LOCACAO EQUIPAMENTO - MATRIZ</t>
  </si>
  <si>
    <t>3101020053</t>
  </si>
  <si>
    <t>3101020053 - COFINS S/ LOCACAO EQUIPAMENTO - FILIAL RS</t>
  </si>
  <si>
    <t>3101020054</t>
  </si>
  <si>
    <t>3101020054 - COFINS S/ LOCACAO EQUIPAMENTO - FILIAL SC</t>
  </si>
  <si>
    <t>3101020055</t>
  </si>
  <si>
    <t>3101020055 - COFINS S/ LOCACAO EQUIPAMENTO - FILIAL MT</t>
  </si>
  <si>
    <t>3101020056</t>
  </si>
  <si>
    <t>3101020056 - PIS S/VENDAS CENTRO DE SERVICOS - FILIAL MT</t>
  </si>
  <si>
    <t>3101020057</t>
  </si>
  <si>
    <t>3101020057 - COFINS S/VENDAS CENTRO DE SERVICOS - FILIAL MT</t>
  </si>
  <si>
    <t>3101020058</t>
  </si>
  <si>
    <t>3101020058 - ICMS S/VENDAS CENTRO DE SERVICOS - FILIAL MT</t>
  </si>
  <si>
    <t>3101020059</t>
  </si>
  <si>
    <t>3101020059 - IPI S/VENDAS CENTRO DE SERVICOS - FILIAL MT</t>
  </si>
  <si>
    <t>3101020060</t>
  </si>
  <si>
    <t>3101020060 - PIS S/VENDAS CENTRO DE SERVICOS - FILIAL SC</t>
  </si>
  <si>
    <t>3101020061</t>
  </si>
  <si>
    <t>3101020061 - COFINS S/VENDAS CENTRO DE SERVICOS - FILIAL SC</t>
  </si>
  <si>
    <t>3101020062</t>
  </si>
  <si>
    <t>3101020062 - ICMS S/VENDAS CENTRO DE SERVICOS - FILIAL SC</t>
  </si>
  <si>
    <t>3101020063</t>
  </si>
  <si>
    <t>3101020063 - IPI S/VENDAS CENTRO DE SERVICOS - FILIAL SC</t>
  </si>
  <si>
    <t>3101020064</t>
  </si>
  <si>
    <t>3101020064 - ISS S/CENTRO DE SERVICOS (OFICINA) - FILIAL SC</t>
  </si>
  <si>
    <t>3101020065</t>
  </si>
  <si>
    <t>3101020065 - ISS S/CENTRO DE SERVICOS (OFICINA) - FILIAL MT</t>
  </si>
  <si>
    <t>3101020066</t>
  </si>
  <si>
    <t>3101020066 - PIS S/SERVICO CENTRO DE SERVICOS - FILIAL SC</t>
  </si>
  <si>
    <t>3101020067</t>
  </si>
  <si>
    <t>3101020067 - COFINS S/SERVICO CENTRO DE SERVICOS - FILIAL SC</t>
  </si>
  <si>
    <t>3101020068</t>
  </si>
  <si>
    <t>3101020068 - PIS S/SERVICO CENTRO DE SERVICOS - FILIAL MT</t>
  </si>
  <si>
    <t>3101020069</t>
  </si>
  <si>
    <t>3101020069 - COFINS S/SERVICO CENTRO DE SERVICOS - FILIAL MT</t>
  </si>
  <si>
    <t>3101020070</t>
  </si>
  <si>
    <t>3101020070 - ISS OUTROS MUNICIPIOS</t>
  </si>
  <si>
    <t>3101020071</t>
  </si>
  <si>
    <t>3101020071 - ISS S/COMISSOES ICO</t>
  </si>
  <si>
    <t>DI</t>
  </si>
  <si>
    <t>3101020073</t>
  </si>
  <si>
    <t>3101020073 - ICMS ST OP PROPRIA/SUBSEQUENTE - POA</t>
  </si>
  <si>
    <t>3101020074</t>
  </si>
  <si>
    <t>3101020074 - ICMS ST OP PROPRIA/SUBSEQUENTE - SC</t>
  </si>
  <si>
    <t>3101030001</t>
  </si>
  <si>
    <t>3101030001 - DEVOLUCAO DE VENDAS MATRIZ</t>
  </si>
  <si>
    <t>3101030002</t>
  </si>
  <si>
    <t>3101030002 - ICMS S/DEVOLUCAO DE VENDAS MATRIZ</t>
  </si>
  <si>
    <t>3101030003</t>
  </si>
  <si>
    <t>3101030003 - IPI S/DEVOLUCAO DE VENDAS MATRIZ</t>
  </si>
  <si>
    <t>3101030004</t>
  </si>
  <si>
    <t>3101030004 - PIS S/DEVOLUCAO DE VENDAS MATRIZ</t>
  </si>
  <si>
    <t>3101030005</t>
  </si>
  <si>
    <t>3101030005 - COFINS S/DEVOLUCAO DE VENDAS MATRIZ</t>
  </si>
  <si>
    <t>3101030006</t>
  </si>
  <si>
    <t>3101030006 - DEVOLUCAO DE VENDAS FILIAL POA</t>
  </si>
  <si>
    <t>3101030007</t>
  </si>
  <si>
    <t>3101030007 - ICMS S/DEVOLUCAO DE VENDAS FILIAL POA</t>
  </si>
  <si>
    <t>3101030008</t>
  </si>
  <si>
    <t>3101030008 - IPI S/DEVOLUCAO DE VENDAS FILIAL POA</t>
  </si>
  <si>
    <t>3101030009</t>
  </si>
  <si>
    <t>3101030009 - PIS S/DEVOLUCAO DE VENDAS FILIAL POA</t>
  </si>
  <si>
    <t>3101030010</t>
  </si>
  <si>
    <t>3101030010 - COFINS S/DEVOLUCAO DE VENDAS FILIAL POA</t>
  </si>
  <si>
    <t>3101030016</t>
  </si>
  <si>
    <t>3101030016 - DEVOLUCAO DE VENDAS FILIAL MT</t>
  </si>
  <si>
    <t>3101030017</t>
  </si>
  <si>
    <t>3101030017 - ICMS S/DEVOLUCAO DE VENDAS FILIAL MT</t>
  </si>
  <si>
    <t>3101030018</t>
  </si>
  <si>
    <t>3101030018 - IPI S/DEVOLUCAO DE VENDAS FILIAL MT</t>
  </si>
  <si>
    <t>3101030019</t>
  </si>
  <si>
    <t>3101030019 - PIS S/DEVOLUCAO DE VENDAS FILIAL MT</t>
  </si>
  <si>
    <t>3101030020</t>
  </si>
  <si>
    <t>3101030020 - COFINS S/DEVOLUCAO DE VENDAS FILIAL MT</t>
  </si>
  <si>
    <t>3201010001</t>
  </si>
  <si>
    <t>3201010001 - VENDAS BENS ATIVO PERMAMENTE-MATRIZ</t>
  </si>
  <si>
    <t>3201010002</t>
  </si>
  <si>
    <t>3201010002 - VENDA BENS ATIVO PERMAN-FILIAL RS</t>
  </si>
  <si>
    <t>3201010003</t>
  </si>
  <si>
    <t>3201010003 - VENDA BENS ATIVO PERMAN-FILIAL SC</t>
  </si>
  <si>
    <t>3201010004</t>
  </si>
  <si>
    <t>3201010004 - VENDA BENS ATIVO PERMAN-FILIAL MT</t>
  </si>
  <si>
    <t>3201000001</t>
  </si>
  <si>
    <t>3201000001 - Revenda De Mercadorias</t>
  </si>
  <si>
    <t>LEICA</t>
  </si>
  <si>
    <t>3201000002</t>
  </si>
  <si>
    <t>3201000002 - Revenda Centro De Servicos</t>
  </si>
  <si>
    <t>3201000003</t>
  </si>
  <si>
    <t>3201000003 - Rev. Fim Espec Exportacao/sc</t>
  </si>
  <si>
    <t>3201000006</t>
  </si>
  <si>
    <t>3201000006 - Revenda De Mercadorias Sp</t>
  </si>
  <si>
    <t>3201000007</t>
  </si>
  <si>
    <t>3201000007 - Revenda De Mercadorias Rj</t>
  </si>
  <si>
    <t>3201000009</t>
  </si>
  <si>
    <t>3201000009 - Rev. Fim Espec Exportacao/rj</t>
  </si>
  <si>
    <t>3201000010</t>
  </si>
  <si>
    <t>3201000010 - Revenda De Mercadorias Belém</t>
  </si>
  <si>
    <t>3201000011</t>
  </si>
  <si>
    <t>3201000011 - Receita  Exportação Direta Sc</t>
  </si>
  <si>
    <t>3501000001</t>
  </si>
  <si>
    <t>3501000001 - Servicos Prestados Oficina</t>
  </si>
  <si>
    <t>3501000002</t>
  </si>
  <si>
    <t>3501000002 - Licenca De Uso - Softwares/ Sc</t>
  </si>
  <si>
    <t>3501000003</t>
  </si>
  <si>
    <t>3501000003 - Suporte Tecnico - Treinamentos</t>
  </si>
  <si>
    <t>3501000005</t>
  </si>
  <si>
    <t>3501000005 - Locacao De Equipamentos</t>
  </si>
  <si>
    <t>3501000008</t>
  </si>
  <si>
    <t>3501000008 - Locação De  Equiptos/sp</t>
  </si>
  <si>
    <t>3501000009</t>
  </si>
  <si>
    <t>3501000009 - Licenca De Uso Softwares Sp</t>
  </si>
  <si>
    <t>3501000010</t>
  </si>
  <si>
    <t>3501000010 - Locacao Equiptos./ Rj</t>
  </si>
  <si>
    <t>3701000001</t>
  </si>
  <si>
    <t>3701000001 - (-)cofins S/ Vendas</t>
  </si>
  <si>
    <t>3701000002</t>
  </si>
  <si>
    <t>3701000002 - (-)cofins S/ Serv Oficina</t>
  </si>
  <si>
    <t>3701000003</t>
  </si>
  <si>
    <t>3701000003 - (-)cofins S/ Serv Locacao</t>
  </si>
  <si>
    <t>3701000004</t>
  </si>
  <si>
    <t>3701000004 - (-)cofins S/ Licenca Uso - Sc</t>
  </si>
  <si>
    <t>3701000005</t>
  </si>
  <si>
    <t>3701000005 - (-)cofins S/ Serv Treinamentos</t>
  </si>
  <si>
    <t>3701000007</t>
  </si>
  <si>
    <t>3701000007 - (-)pis S/ Vendas</t>
  </si>
  <si>
    <t>3701000008</t>
  </si>
  <si>
    <t>3701000008 - (-)pis S/ Serv Locacao</t>
  </si>
  <si>
    <t>3701000009</t>
  </si>
  <si>
    <t>3701000009 - (-)pis S/ Serv Oficina</t>
  </si>
  <si>
    <t>3701000010</t>
  </si>
  <si>
    <t>3701000010 - (-)pis S/  Licenca Uso - Sc</t>
  </si>
  <si>
    <t>3701000011</t>
  </si>
  <si>
    <t>3701000011 - (-)pis S/ Serv Treinamentos</t>
  </si>
  <si>
    <t>3701000013</t>
  </si>
  <si>
    <t>3701000013 - (-)ipi S/ Vendas</t>
  </si>
  <si>
    <t>3701000014</t>
  </si>
  <si>
    <t>3701000014 - (-)icms S/ Vendas</t>
  </si>
  <si>
    <t>3701000015</t>
  </si>
  <si>
    <t>3701000015 - (-)issqn S/ Serv Oficina</t>
  </si>
  <si>
    <t>3701000016</t>
  </si>
  <si>
    <t>3701000016 - (-)issqn S/  Licenca Uso - Sc</t>
  </si>
  <si>
    <t>3701000017</t>
  </si>
  <si>
    <t>3701000017 - (-)issqn S/ Serv Treinamentos</t>
  </si>
  <si>
    <t>3701000019</t>
  </si>
  <si>
    <t>3701000019 - (-)icms Complem S/ Venda St</t>
  </si>
  <si>
    <t>3701000020</t>
  </si>
  <si>
    <t>3701000020 - (-)icms St Op Propria/subseque</t>
  </si>
  <si>
    <t>3701000021</t>
  </si>
  <si>
    <t>3701000021 - (-)icms S/ Venda Centro Serv</t>
  </si>
  <si>
    <t>3701000022</t>
  </si>
  <si>
    <t>3701000022 - (-)ipi S/ Venda Centro Serv</t>
  </si>
  <si>
    <t>3701000023</t>
  </si>
  <si>
    <t>3701000023 - (-)cofins S/venda Cto Servicos</t>
  </si>
  <si>
    <t>3701000024</t>
  </si>
  <si>
    <t>3701000024 - (-)pis S/vendas Cto Servicos</t>
  </si>
  <si>
    <t>3701000029</t>
  </si>
  <si>
    <t>3701000029 - (-)icms S/vendas Sp</t>
  </si>
  <si>
    <t>3701000030</t>
  </si>
  <si>
    <t>3701000030 - (-)ipi S/ Vendas Sp</t>
  </si>
  <si>
    <t>3701000031</t>
  </si>
  <si>
    <t>3701000031 - (-)pis S/ Vendas Sp</t>
  </si>
  <si>
    <t>3701000032</t>
  </si>
  <si>
    <t>3701000032 - (-)cofins S/ Vendas Sp</t>
  </si>
  <si>
    <t>3701000033</t>
  </si>
  <si>
    <t>3701000033 - (-)icms S/ Vendas Rj</t>
  </si>
  <si>
    <t>3701000034</t>
  </si>
  <si>
    <t>3701000034 - (-)ipi S/ Vendas Rj</t>
  </si>
  <si>
    <t>3701000035</t>
  </si>
  <si>
    <t>3701000035 - (-)pis S/ Vendas Rj</t>
  </si>
  <si>
    <t>3701000036</t>
  </si>
  <si>
    <t>3701000036 - (-)cofins S/ Vendas Rj</t>
  </si>
  <si>
    <t>3701000039</t>
  </si>
  <si>
    <t>3701000039 - (-)cofins S/serv.locação/sp</t>
  </si>
  <si>
    <t>3701000040</t>
  </si>
  <si>
    <t>3701000040 - (-)pis S/serv.locação/sp</t>
  </si>
  <si>
    <t>3701000041</t>
  </si>
  <si>
    <t>3701000041 - (-)icms S/ Vendas Belem</t>
  </si>
  <si>
    <t>3701000042</t>
  </si>
  <si>
    <t>3701000042 - (-)ipi S/ Vendas Belém</t>
  </si>
  <si>
    <t>3701000043</t>
  </si>
  <si>
    <t>3701000043 - (-)cofins S/ Vendas Belém</t>
  </si>
  <si>
    <t>3701000044</t>
  </si>
  <si>
    <t>3701000044 - (-)pis S/ Vendas Belém</t>
  </si>
  <si>
    <t>3701000045</t>
  </si>
  <si>
    <t>3701000045 - (-)cofins Licença De Uso Sp</t>
  </si>
  <si>
    <t>3701000046</t>
  </si>
  <si>
    <t>3701000046 - (-)pis S/ Licença De Uso Sp</t>
  </si>
  <si>
    <t>3701000047</t>
  </si>
  <si>
    <t>3701000047 - (-)iss S/ Licença De Uso Sp</t>
  </si>
  <si>
    <t>3701000048</t>
  </si>
  <si>
    <t>3701000048 - (-)cofins S/ Serv Loc Rj</t>
  </si>
  <si>
    <t>3701000049</t>
  </si>
  <si>
    <t>3701000049 - (-)pis S/ Serv Loc Rj</t>
  </si>
  <si>
    <t>3704000001</t>
  </si>
  <si>
    <t>3704000001 - Devolucao De Vendas</t>
  </si>
  <si>
    <t>3704000002</t>
  </si>
  <si>
    <t>3704000002 - Icms S/ Devolucao De Vendas</t>
  </si>
  <si>
    <t>3704000003</t>
  </si>
  <si>
    <t>3704000003 - Ipi S/ Devolucao De Vendas</t>
  </si>
  <si>
    <t>3704000004</t>
  </si>
  <si>
    <t>3704000004 - Pis S/ Devolução De Vendas</t>
  </si>
  <si>
    <t>3704000005</t>
  </si>
  <si>
    <t>3704000005 - Cofins S/ Devolução De Vendas</t>
  </si>
  <si>
    <t>3801000004</t>
  </si>
  <si>
    <t>3801000004 - Venda De Bem Ativo Imobilizado</t>
  </si>
  <si>
    <t>SERVICOS NO EXTERIOR</t>
  </si>
  <si>
    <t>RBR</t>
  </si>
  <si>
    <t>Fluxo de caixa - Método Indireto</t>
  </si>
  <si>
    <t>Atividades Operacionais</t>
  </si>
  <si>
    <t>Resultado Líquido do Execício</t>
  </si>
  <si>
    <t>(+) Depreciação</t>
  </si>
  <si>
    <t>(-) Resultado da Equivalência Patrimonial Positiva</t>
  </si>
  <si>
    <t>(+) Resultado da Equivalência Patrimonial Negativa</t>
  </si>
  <si>
    <t>(-) Resultado da venda do imobilizado</t>
  </si>
  <si>
    <t>(=) Resultado que afeta o caixa</t>
  </si>
  <si>
    <t>Variações do circulante</t>
  </si>
  <si>
    <t>(=) Caixa gerado nas atividades operacionais</t>
  </si>
  <si>
    <t>Atividades de Investimentos</t>
  </si>
  <si>
    <t>Atividades de Financiamentos</t>
  </si>
  <si>
    <t>Aumento do capital social</t>
  </si>
  <si>
    <t>Diminuição lucros/prejuízos acumulados</t>
  </si>
  <si>
    <t>45010100018 + 45020100018 + 45010100019</t>
  </si>
  <si>
    <t>3202</t>
  </si>
  <si>
    <t>110201</t>
  </si>
  <si>
    <t>110204</t>
  </si>
  <si>
    <t>110208</t>
  </si>
  <si>
    <t>3 + 4 + 5 + 6 + 7 + 9</t>
  </si>
  <si>
    <t>110210</t>
  </si>
  <si>
    <t>110214 + 110216</t>
  </si>
  <si>
    <t>110220</t>
  </si>
  <si>
    <t>1</t>
  </si>
  <si>
    <t>5</t>
  </si>
  <si>
    <t>4</t>
  </si>
  <si>
    <t>3</t>
  </si>
  <si>
    <t>12010200007 + 12010200008</t>
  </si>
  <si>
    <t>12010200002 + 12010200004 + 12010200005 + 12010200006 + 12010200012</t>
  </si>
  <si>
    <t>10</t>
  </si>
  <si>
    <t>20</t>
  </si>
  <si>
    <t>110</t>
  </si>
  <si>
    <t>120</t>
  </si>
  <si>
    <t>130</t>
  </si>
  <si>
    <t>140</t>
  </si>
  <si>
    <t>150</t>
  </si>
  <si>
    <t>Invertido</t>
  </si>
  <si>
    <t>Normal</t>
  </si>
  <si>
    <t>50</t>
  </si>
  <si>
    <t>Diminuição (Aumento) de duplicatas a receber no país</t>
  </si>
  <si>
    <t>Diminuição (Aumento) de duplicatas a receber no exterior</t>
  </si>
  <si>
    <t>Diminuição (Aumento) de impostos a recuperar/compensar</t>
  </si>
  <si>
    <t>Diminuição (Aumento) nos estoques</t>
  </si>
  <si>
    <t>Diminuição (Aumento) nas despesas antecipadas</t>
  </si>
  <si>
    <t>Aumento (Diminuição) de fornecedores no país</t>
  </si>
  <si>
    <t>Aumento (Diminuição) de fornecedores Intercompanhia no exterior</t>
  </si>
  <si>
    <t>160</t>
  </si>
  <si>
    <t>170</t>
  </si>
  <si>
    <t>180</t>
  </si>
  <si>
    <t>190</t>
  </si>
  <si>
    <t>200</t>
  </si>
  <si>
    <t>210</t>
  </si>
  <si>
    <t>220</t>
  </si>
  <si>
    <t>210101</t>
  </si>
  <si>
    <t>210103</t>
  </si>
  <si>
    <t>210105</t>
  </si>
  <si>
    <t>210104</t>
  </si>
  <si>
    <t>210106</t>
  </si>
  <si>
    <t>210107</t>
  </si>
  <si>
    <t>2201</t>
  </si>
  <si>
    <t>Aumento (Diminuição) de obrigações tributárias</t>
  </si>
  <si>
    <t>Aumento (Diminuição) de contas a pagar</t>
  </si>
  <si>
    <t xml:space="preserve">Aumento (Diminuição) de provisões </t>
  </si>
  <si>
    <t>Aumento (Diminuição) do contas a pagar LP</t>
  </si>
  <si>
    <t>2301</t>
  </si>
  <si>
    <t>2304</t>
  </si>
  <si>
    <t>310</t>
  </si>
  <si>
    <t>320</t>
  </si>
  <si>
    <t>410</t>
  </si>
  <si>
    <t>420</t>
  </si>
  <si>
    <t>(=) Resultado final do caixa</t>
  </si>
  <si>
    <t>99</t>
  </si>
  <si>
    <t>Total</t>
  </si>
  <si>
    <t>299</t>
  </si>
  <si>
    <t>230</t>
  </si>
  <si>
    <t>399</t>
  </si>
  <si>
    <t>499</t>
  </si>
  <si>
    <t>599</t>
  </si>
  <si>
    <t>299 + 399 + 499</t>
  </si>
  <si>
    <t>1101</t>
  </si>
  <si>
    <t>920</t>
  </si>
  <si>
    <t>910</t>
  </si>
  <si>
    <t>Saldo Inicial</t>
  </si>
  <si>
    <t>Saldo Final</t>
  </si>
  <si>
    <t>(=) Fluxo de caixa das atividades de investimentos</t>
  </si>
  <si>
    <t>(=) Fluxo de caixa das atividades de financiamento</t>
  </si>
  <si>
    <t>Diminuição (Aumento) de adiantamentos</t>
  </si>
  <si>
    <t>Aumento (Diminuição) de obrigações sociais</t>
  </si>
  <si>
    <t>(=) Saldo no final do exercício</t>
  </si>
  <si>
    <t>(+) Saldo no Início do exercício</t>
  </si>
  <si>
    <t>330</t>
  </si>
  <si>
    <t>1202</t>
  </si>
  <si>
    <t>Diminuição (Aumento) nos investimentos</t>
  </si>
  <si>
    <t>Diminuição (Aumento) de aplicação financeira</t>
  </si>
  <si>
    <t>120103</t>
  </si>
  <si>
    <t>Diminuição (Aumento) de titulos a receber a LP</t>
  </si>
  <si>
    <t>Diminuição (Aumento) de créditos intercompanhia</t>
  </si>
  <si>
    <t>1203</t>
  </si>
  <si>
    <t>Diminuição (Aumento) do imobilizado</t>
  </si>
  <si>
    <t>Aumento (Diminuição) de empréstimos a pagar intercompanhia</t>
  </si>
  <si>
    <t>Check</t>
  </si>
  <si>
    <t>599 + 910</t>
  </si>
  <si>
    <t>999</t>
  </si>
  <si>
    <t>Soma</t>
  </si>
  <si>
    <t>Subtrai</t>
  </si>
  <si>
    <t>Título</t>
  </si>
  <si>
    <t>30</t>
  </si>
  <si>
    <t>240</t>
  </si>
  <si>
    <t>120 + 130 + 140 + 150 + 160 + 170 + 180 + 190 + 200 + 210 + 220 + 230 + 240</t>
  </si>
  <si>
    <t>340</t>
  </si>
  <si>
    <t>430</t>
  </si>
  <si>
    <t>320 + 330 + 340 + 360</t>
  </si>
  <si>
    <t>360</t>
  </si>
  <si>
    <t>420 + 430</t>
  </si>
  <si>
    <t>20 + 30 + 50</t>
  </si>
  <si>
    <t>45030100037</t>
  </si>
  <si>
    <t>Grupo Plano</t>
  </si>
  <si>
    <t>BU</t>
  </si>
  <si>
    <t>CONE</t>
  </si>
  <si>
    <t>Corporativo</t>
  </si>
  <si>
    <t>COD_RATEIO</t>
  </si>
  <si>
    <t>CHAVE</t>
  </si>
  <si>
    <t>INDICE</t>
  </si>
  <si>
    <t>RBR_RD</t>
  </si>
  <si>
    <t>RoSA_BU</t>
  </si>
  <si>
    <t>RD_BU</t>
  </si>
  <si>
    <t>OPEX Ponte</t>
  </si>
  <si>
    <t>REG_BU_RD</t>
  </si>
  <si>
    <t>REG_BU_RoSA</t>
  </si>
  <si>
    <t>ADM_BU</t>
  </si>
  <si>
    <t>Comissões ICO</t>
  </si>
  <si>
    <t>Leica</t>
  </si>
  <si>
    <t>Manfra</t>
  </si>
  <si>
    <t>Parâmetros OPEX</t>
  </si>
  <si>
    <t>Janeiro</t>
  </si>
  <si>
    <t>Taxa de Câmbio</t>
  </si>
  <si>
    <t>Fevereiro</t>
  </si>
  <si>
    <t>Março</t>
  </si>
  <si>
    <t>Abril</t>
  </si>
  <si>
    <t>Maio</t>
  </si>
  <si>
    <t>Mês</t>
  </si>
  <si>
    <t>DOACAO DE ATIVO _x000D_</t>
  </si>
  <si>
    <t>DEVOLUCAO COMPRA IMOB _x000D_</t>
  </si>
  <si>
    <t>DEVOL. COMPRA MAT.USO/CONSUMO _x000D_</t>
  </si>
  <si>
    <t>Dev. Compra</t>
  </si>
  <si>
    <t>VENDA - REMESSA FUTURA _x000D_</t>
  </si>
  <si>
    <t>Junho</t>
  </si>
  <si>
    <t>45090100001</t>
  </si>
  <si>
    <t>Julho</t>
  </si>
  <si>
    <t>Agosto</t>
  </si>
  <si>
    <t>Setembro</t>
  </si>
  <si>
    <t>Outubro</t>
  </si>
  <si>
    <t>MINING</t>
  </si>
  <si>
    <t>1.30</t>
  </si>
  <si>
    <t>MINING - REGIAO</t>
  </si>
  <si>
    <t>1.30.001</t>
  </si>
  <si>
    <t>2.13</t>
  </si>
  <si>
    <t>REGIAO MINING</t>
  </si>
  <si>
    <t>MIN</t>
  </si>
  <si>
    <t>Mining</t>
  </si>
  <si>
    <t>AUDITORIA EXTERIOR _x000D_</t>
  </si>
  <si>
    <t>Novembro</t>
  </si>
  <si>
    <t>Dezembro</t>
  </si>
  <si>
    <t>VENDA PARA EXTERIOR</t>
  </si>
  <si>
    <t>45030100015</t>
  </si>
  <si>
    <t>45020100035</t>
  </si>
  <si>
    <t>45040100014</t>
  </si>
  <si>
    <t>45020100037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</si>
</sst>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416]mmm\-yy;@"/>
    <numFmt numFmtId="165" formatCode="0.0%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44">
    <xf numFmtId="0" fontId="0" fillId="0" borderId="0" xfId="0"/>
    <xf numFmtId="49" fontId="0" fillId="0" borderId="0" xfId="0" applyNumberFormat="1"/>
    <xf numFmtId="0" fontId="0" fillId="5" borderId="0" xfId="0" applyFill="1"/>
    <xf numFmtId="0" fontId="2" fillId="6" borderId="0" xfId="0" applyFont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3" fillId="0" borderId="0" xfId="0" applyFont="1"/>
    <xf numFmtId="0" fontId="0" fillId="0" borderId="0" xfId="0" applyAlignment="1">
      <alignment horizontal="left" indent="1"/>
    </xf>
    <xf numFmtId="0" fontId="0" fillId="0" borderId="0" xfId="0" quotePrefix="1"/>
    <xf numFmtId="49" fontId="0" fillId="0" borderId="0" xfId="0" quotePrefix="1" applyNumberFormat="1"/>
    <xf numFmtId="0" fontId="0" fillId="0" borderId="0" xfId="0" quotePrefix="1" applyAlignment="1"/>
    <xf numFmtId="165" fontId="5" fillId="0" borderId="0" xfId="1" applyNumberFormat="1" applyFont="1"/>
    <xf numFmtId="0" fontId="0" fillId="0" borderId="0" xfId="0"/>
    <xf numFmtId="165" fontId="0" fillId="0" borderId="0" xfId="1" applyNumberFormat="1" applyFont="1"/>
    <xf numFmtId="165" fontId="4" fillId="0" borderId="0" xfId="1" applyNumberFormat="1" applyFont="1"/>
    <xf numFmtId="43" fontId="0" fillId="0" borderId="0" xfId="2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2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2" borderId="0" xfId="0" applyFont="1" applyFill="1"/>
    <xf numFmtId="0" fontId="6" fillId="0" borderId="0" xfId="0" applyFont="1"/>
    <xf numFmtId="0" fontId="6" fillId="3" borderId="0" xfId="0" applyFont="1" applyFill="1"/>
    <xf numFmtId="0" fontId="6" fillId="10" borderId="0" xfId="0" applyFont="1" applyFill="1"/>
    <xf numFmtId="0" fontId="6" fillId="8" borderId="0" xfId="0" applyFont="1" applyFill="1"/>
    <xf numFmtId="0" fontId="6" fillId="8" borderId="0" xfId="0" applyFont="1" applyFill="1" applyAlignment="1">
      <alignment horizontal="center"/>
    </xf>
    <xf numFmtId="0" fontId="6" fillId="11" borderId="0" xfId="0" applyFont="1" applyFill="1"/>
    <xf numFmtId="43" fontId="6" fillId="11" borderId="0" xfId="2" applyFont="1" applyFill="1"/>
    <xf numFmtId="0" fontId="6" fillId="5" borderId="0" xfId="0" applyFont="1" applyFill="1" applyAlignment="1">
      <alignment horizontal="left" indent="2"/>
    </xf>
    <xf numFmtId="0" fontId="6" fillId="5" borderId="0" xfId="0" applyFont="1" applyFill="1"/>
    <xf numFmtId="164" fontId="6" fillId="4" borderId="0" xfId="0" applyNumberFormat="1" applyFont="1" applyFill="1" applyAlignment="1" applyProtection="1">
      <alignment horizontal="center"/>
      <protection locked="0"/>
    </xf>
    <xf numFmtId="43" fontId="6" fillId="0" borderId="0" xfId="2" applyFont="1"/>
    <xf numFmtId="0" fontId="6" fillId="10" borderId="0" xfId="0" applyFont="1" applyFill="1" applyAlignment="1">
      <alignment horizontal="center"/>
    </xf>
    <xf numFmtId="43" fontId="6" fillId="10" borderId="0" xfId="2" applyFont="1" applyFill="1"/>
    <xf numFmtId="0" fontId="6" fillId="10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</cellXfs>
  <cellStyles count="3">
    <cellStyle name="Normal" xfId="0" builtinId="0"/>
    <cellStyle name="Porcentagem" xfId="1" builtinId="5"/>
    <cellStyle name="Vírgula" xfId="2" builtinId="3"/>
  </cellStyles>
  <dxfs count="7">
    <dxf>
      <numFmt numFmtId="30" formatCode="@"/>
    </dxf>
    <dxf>
      <numFmt numFmtId="30" formatCode="@"/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3</xdr:row>
          <xdr:rowOff>0</xdr:rowOff>
        </xdr:from>
        <xdr:to>
          <xdr:col>4</xdr:col>
          <xdr:colOff>571500</xdr:colOff>
          <xdr:row>4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Contabilidade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3</xdr:row>
          <xdr:rowOff>12700</xdr:rowOff>
        </xdr:from>
        <xdr:to>
          <xdr:col>10</xdr:col>
          <xdr:colOff>203200</xdr:colOff>
          <xdr:row>4</xdr:row>
          <xdr:rowOff>69850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Notas Emitidas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5</xdr:row>
          <xdr:rowOff>50800</xdr:rowOff>
        </xdr:from>
        <xdr:to>
          <xdr:col>10</xdr:col>
          <xdr:colOff>203200</xdr:colOff>
          <xdr:row>6</xdr:row>
          <xdr:rowOff>107950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Cria Relatórios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7</xdr:row>
          <xdr:rowOff>95250</xdr:rowOff>
        </xdr:from>
        <xdr:to>
          <xdr:col>10</xdr:col>
          <xdr:colOff>203200</xdr:colOff>
          <xdr:row>8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Produtos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9</xdr:row>
          <xdr:rowOff>133350</xdr:rowOff>
        </xdr:from>
        <xdr:to>
          <xdr:col>10</xdr:col>
          <xdr:colOff>203200</xdr:colOff>
          <xdr:row>11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Acerta Escritórios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5</xdr:row>
          <xdr:rowOff>107950</xdr:rowOff>
        </xdr:from>
        <xdr:to>
          <xdr:col>4</xdr:col>
          <xdr:colOff>571500</xdr:colOff>
          <xdr:row>7</xdr:row>
          <xdr:rowOff>12700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Relatórios Fechamento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298450</xdr:colOff>
          <xdr:row>11</xdr:row>
          <xdr:rowOff>146050</xdr:rowOff>
        </xdr:from>
        <xdr:to>
          <xdr:col>4</xdr:col>
          <xdr:colOff>565150</xdr:colOff>
          <xdr:row>13</xdr:row>
          <xdr:rowOff>50800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Mês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13</xdr:row>
          <xdr:rowOff>152400</xdr:rowOff>
        </xdr:from>
        <xdr:to>
          <xdr:col>8</xdr:col>
          <xdr:colOff>146050</xdr:colOff>
          <xdr:row>15</xdr:row>
          <xdr:rowOff>69850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DFC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13</xdr:row>
          <xdr:rowOff>146050</xdr:rowOff>
        </xdr:from>
        <xdr:to>
          <xdr:col>10</xdr:col>
          <xdr:colOff>590550</xdr:colOff>
          <xdr:row>15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OPEX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Rateios" displayName="Rateios" ref="A1:C51" totalsRowShown="0">
  <autoFilter ref="A1:C51" xr:uid="{00000000-0009-0000-0100-000003000000}"/>
  <tableColumns count="3">
    <tableColumn id="1" xr3:uid="{00000000-0010-0000-0000-000001000000}" name="COD_RATEIO"/>
    <tableColumn id="2" xr3:uid="{00000000-0010-0000-0000-000002000000}" name="CHAVE"/>
    <tableColumn id="3" xr3:uid="{00000000-0010-0000-0000-000003000000}" name="INDICE" dataDxfId="6"/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RecLiq" displayName="RecLiq" ref="A1:D174" totalsRowShown="0">
  <autoFilter ref="A1:D174" xr:uid="{00000000-0009-0000-0100-000001000000}"/>
  <tableColumns count="4">
    <tableColumn id="1" xr3:uid="{00000000-0010-0000-0100-000001000000}" name="Conta" dataDxfId="5"/>
    <tableColumn id="2" xr3:uid="{00000000-0010-0000-0100-000002000000}" name="Descrição"/>
    <tableColumn id="3" xr3:uid="{00000000-0010-0000-0100-000003000000}" name="Tipo"/>
    <tableColumn id="4" xr3:uid="{00000000-0010-0000-0100-000004000000}" name="Empresa"/>
  </tableColumns>
  <tableStyleInfo name="TableStyleLight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CodRecLiq" displayName="CodRecLiq" ref="F1:H8" totalsRowShown="0">
  <autoFilter ref="F1:H8" xr:uid="{00000000-0009-0000-0100-000002000000}"/>
  <tableColumns count="3">
    <tableColumn id="1" xr3:uid="{00000000-0010-0000-0200-000001000000}" name="Código"/>
    <tableColumn id="2" xr3:uid="{00000000-0010-0000-0200-000002000000}" name="Descrição"/>
    <tableColumn id="3" xr3:uid="{00000000-0010-0000-0200-000003000000}" name="Ordem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Origens" displayName="Origens" ref="A1:C44" totalsRowShown="0">
  <autoFilter ref="A1:C44" xr:uid="{00000000-0009-0000-0100-000004000000}"/>
  <sortState xmlns:xlrd2="http://schemas.microsoft.com/office/spreadsheetml/2017/richdata2" ref="A2:C37">
    <sortCondition ref="A1:A37"/>
  </sortState>
  <tableColumns count="3">
    <tableColumn id="1" xr3:uid="{00000000-0010-0000-0300-000001000000}" name="Código"/>
    <tableColumn id="2" xr3:uid="{00000000-0010-0000-0300-000002000000}" name="Origem"/>
    <tableColumn id="3" xr3:uid="{00000000-0010-0000-0300-000003000000}" name="Tipo Receita"/>
  </tableColumns>
  <tableStyleInfo name="TableStyleLight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Agrupamento" displayName="Agrupamento" ref="A1:E175" totalsRowShown="0">
  <autoFilter ref="A1:E175" xr:uid="{00000000-0009-0000-0100-000005000000}"/>
  <sortState xmlns:xlrd2="http://schemas.microsoft.com/office/spreadsheetml/2017/richdata2" ref="A2:E1060">
    <sortCondition ref="A2:A1060" customList="LEICA,MANFRA,DR2016,DRCS16,DRLC16"/>
    <sortCondition ref="B2:B1060"/>
  </sortState>
  <tableColumns count="5">
    <tableColumn id="1" xr3:uid="{00000000-0010-0000-0400-000001000000}" name="Empresa"/>
    <tableColumn id="2" xr3:uid="{00000000-0010-0000-0400-000002000000}" name="Conta"/>
    <tableColumn id="3" xr3:uid="{00000000-0010-0000-0400-000003000000}" name="Grupo"/>
    <tableColumn id="4" xr3:uid="{00000000-0010-0000-0400-000004000000}" name="Hyperion"/>
    <tableColumn id="5" xr3:uid="{00000000-0010-0000-0400-000005000000}" name="SAP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Grupos" displayName="Grupos" ref="G1:H23" totalsRowShown="0">
  <autoFilter ref="G1:H23" xr:uid="{00000000-0009-0000-0100-000006000000}"/>
  <tableColumns count="2">
    <tableColumn id="1" xr3:uid="{00000000-0010-0000-0500-000001000000}" name="Grupo"/>
    <tableColumn id="2" xr3:uid="{00000000-0010-0000-0500-000002000000}" name="Descrição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Hyperion" displayName="Hyperion" ref="K1:L17" totalsRowShown="0" dataDxfId="4">
  <autoFilter ref="K1:L17" xr:uid="{00000000-0009-0000-0100-000009000000}"/>
  <tableColumns count="2">
    <tableColumn id="1" xr3:uid="{00000000-0010-0000-0600-000001000000}" name="Conta" dataDxfId="3"/>
    <tableColumn id="2" xr3:uid="{00000000-0010-0000-0600-000002000000}" name="Hyperion" dataDxfId="2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7000000}" name="SAP" displayName="SAP" ref="N1:O68" totalsRowShown="0">
  <autoFilter ref="N1:O68" xr:uid="{00000000-0009-0000-0100-00000A000000}"/>
  <tableColumns count="2">
    <tableColumn id="1" xr3:uid="{00000000-0010-0000-0700-000001000000}" name="Account"/>
    <tableColumn id="2" xr3:uid="{00000000-0010-0000-0700-000002000000}" name="Description"/>
  </tableColumns>
  <tableStyleInfo name="TableStyleLight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Escritórios" displayName="Escritórios" ref="A1:B29" totalsRowShown="0">
  <autoFilter ref="A1:B29" xr:uid="{00000000-0009-0000-0100-000007000000}"/>
  <sortState xmlns:xlrd2="http://schemas.microsoft.com/office/spreadsheetml/2017/richdata2" ref="A2:B28">
    <sortCondition ref="A1:A28"/>
  </sortState>
  <tableColumns count="2">
    <tableColumn id="1" xr3:uid="{00000000-0010-0000-0800-000001000000}" name="Estado"/>
    <tableColumn id="2" xr3:uid="{00000000-0010-0000-0800-000002000000}" name="Escritório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9000000}" name="Planos" displayName="Planos" ref="A1:I94" totalsRowShown="0">
  <autoFilter ref="A1:I94" xr:uid="{00000000-0009-0000-0100-000008000000}"/>
  <tableColumns count="9">
    <tableColumn id="1" xr3:uid="{00000000-0010-0000-0900-000001000000}" name="COD_PLANO" dataDxfId="1"/>
    <tableColumn id="2" xr3:uid="{00000000-0010-0000-0900-000002000000}" name="Plano" dataDxfId="0"/>
    <tableColumn id="3" xr3:uid="{00000000-0010-0000-0900-000003000000}" name="Reduz"/>
    <tableColumn id="4" xr3:uid="{00000000-0010-0000-0900-000004000000}" name="Grau"/>
    <tableColumn id="5" xr3:uid="{00000000-0010-0000-0900-000005000000}" name="Superior"/>
    <tableColumn id="6" xr3:uid="{00000000-0010-0000-0900-000006000000}" name="Região"/>
    <tableColumn id="7" xr3:uid="{00000000-0010-0000-0900-000007000000}" name="Region"/>
    <tableColumn id="8" xr3:uid="{00000000-0010-0000-0900-000008000000}" name="Dept"/>
    <tableColumn id="9" xr3:uid="{00000000-0010-0000-0900-000009000000}" name="Grupo Plano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customProperty" Target="../customProperty5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customProperty" Target="../customProperty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9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B3:P20"/>
  <sheetViews>
    <sheetView showGridLines="0" tabSelected="1" workbookViewId="0">
      <selection activeCell="J5" sqref="J5"/>
    </sheetView>
  </sheetViews>
  <sheetFormatPr defaultColWidth="9.1796875" defaultRowHeight="14.5" x14ac:dyDescent="0.35"/>
  <cols>
    <col min="1" max="2" width="9.1796875" style="26"/>
    <col min="3" max="3" width="10.7265625" style="26" bestFit="1" customWidth="1"/>
    <col min="4" max="14" width="9.1796875" style="26"/>
    <col min="15" max="15" width="14.1796875" style="26" bestFit="1" customWidth="1"/>
    <col min="16" max="16" width="13.26953125" style="26" bestFit="1" customWidth="1"/>
    <col min="17" max="16384" width="9.1796875" style="26"/>
  </cols>
  <sheetData>
    <row r="3" spans="2:16" x14ac:dyDescent="0.35">
      <c r="B3" s="25"/>
      <c r="C3" s="25"/>
      <c r="D3" s="25"/>
      <c r="E3" s="25"/>
      <c r="F3" s="25"/>
      <c r="H3" s="27"/>
      <c r="I3" s="27"/>
      <c r="J3" s="27"/>
      <c r="K3" s="27"/>
      <c r="N3" s="28"/>
      <c r="O3" s="28" t="s">
        <v>1075</v>
      </c>
      <c r="P3" s="28"/>
    </row>
    <row r="4" spans="2:16" x14ac:dyDescent="0.35">
      <c r="B4" s="25"/>
      <c r="C4" s="25"/>
      <c r="D4" s="25"/>
      <c r="E4" s="25"/>
      <c r="F4" s="25"/>
      <c r="H4" s="27"/>
      <c r="I4" s="27"/>
      <c r="J4" s="27"/>
      <c r="K4" s="27"/>
      <c r="N4" s="29"/>
      <c r="O4" s="30" t="s">
        <v>1076</v>
      </c>
      <c r="P4" s="30" t="s">
        <v>1077</v>
      </c>
    </row>
    <row r="5" spans="2:16" x14ac:dyDescent="0.35">
      <c r="B5" s="25"/>
      <c r="C5" s="25"/>
      <c r="D5" s="25"/>
      <c r="E5" s="25"/>
      <c r="F5" s="25"/>
      <c r="H5" s="27"/>
      <c r="I5" s="27"/>
      <c r="J5" s="27"/>
      <c r="K5" s="27"/>
      <c r="N5" s="31" t="s">
        <v>567</v>
      </c>
      <c r="O5" s="32">
        <f ca="1">OFFSET(Rateios!$F$4,MATCH($N5,Rateios!$F$4:$F$17,0)-1,$K$19*2-1)</f>
        <v>0</v>
      </c>
      <c r="P5" s="32">
        <f ca="1">OFFSET(Rateios!$F$4,MATCH($N5,Rateios!$F$4:$F$17,0)-1,$K$19*2)</f>
        <v>0</v>
      </c>
    </row>
    <row r="6" spans="2:16" x14ac:dyDescent="0.35">
      <c r="B6" s="25"/>
      <c r="C6" s="25"/>
      <c r="D6" s="25"/>
      <c r="E6" s="25"/>
      <c r="F6" s="25"/>
      <c r="H6" s="27"/>
      <c r="I6" s="27"/>
      <c r="J6" s="27"/>
      <c r="K6" s="27"/>
      <c r="N6" s="31" t="s">
        <v>560</v>
      </c>
      <c r="O6" s="32">
        <f ca="1">OFFSET(Rateios!$F$4,MATCH($N6,Rateios!$F$4:$F$17,0)-1,$K$19*2-1)</f>
        <v>0</v>
      </c>
      <c r="P6" s="32">
        <f ca="1">OFFSET(Rateios!$F$4,MATCH($N6,Rateios!$F$4:$F$17,0)-1,$K$19*2)</f>
        <v>0</v>
      </c>
    </row>
    <row r="7" spans="2:16" x14ac:dyDescent="0.35">
      <c r="B7" s="25"/>
      <c r="C7" s="25"/>
      <c r="D7" s="25"/>
      <c r="E7" s="25"/>
      <c r="F7" s="25"/>
      <c r="H7" s="27"/>
      <c r="I7" s="27"/>
      <c r="J7" s="27"/>
      <c r="K7" s="27"/>
      <c r="N7" s="31"/>
      <c r="O7" s="32"/>
      <c r="P7" s="32"/>
    </row>
    <row r="8" spans="2:16" x14ac:dyDescent="0.35">
      <c r="B8" s="25"/>
      <c r="C8" s="25"/>
      <c r="D8" s="25"/>
      <c r="E8" s="25"/>
      <c r="F8" s="25"/>
      <c r="H8" s="27"/>
      <c r="I8" s="27"/>
      <c r="J8" s="27"/>
      <c r="K8" s="27"/>
      <c r="N8" s="31" t="s">
        <v>556</v>
      </c>
      <c r="O8" s="32">
        <f ca="1">OFFSET(Rateios!$F$4,MATCH($N8,Rateios!$F$4:$F$17,0)-1,$K$19*2-1)</f>
        <v>0</v>
      </c>
      <c r="P8" s="32">
        <f ca="1">OFFSET(Rateios!$F$4,MATCH($N8,Rateios!$F$4:$F$17,0)-1,$K$19*2)</f>
        <v>0</v>
      </c>
    </row>
    <row r="9" spans="2:16" x14ac:dyDescent="0.35">
      <c r="H9" s="27"/>
      <c r="I9" s="27"/>
      <c r="J9" s="27"/>
      <c r="K9" s="27"/>
      <c r="N9" s="31" t="s">
        <v>561</v>
      </c>
      <c r="O9" s="32">
        <f ca="1">OFFSET(Rateios!$F$4,MATCH($N9,Rateios!$F$4:$F$17,0)-1,$K$19*2-1)</f>
        <v>0</v>
      </c>
      <c r="P9" s="32">
        <f ca="1">OFFSET(Rateios!$F$4,MATCH($N9,Rateios!$F$4:$F$17,0)-1,$K$19*2)</f>
        <v>0</v>
      </c>
    </row>
    <row r="10" spans="2:16" x14ac:dyDescent="0.35">
      <c r="H10" s="27"/>
      <c r="I10" s="27"/>
      <c r="J10" s="27"/>
      <c r="K10" s="27"/>
      <c r="N10" s="31" t="s">
        <v>559</v>
      </c>
      <c r="O10" s="32">
        <f ca="1">OFFSET(Rateios!$F$4,MATCH($N10,Rateios!$F$4:$F$17,0)-1,$K$19*2-1)</f>
        <v>0</v>
      </c>
      <c r="P10" s="32">
        <f ca="1">OFFSET(Rateios!$F$4,MATCH($N10,Rateios!$F$4:$F$17,0)-1,$K$19*2)</f>
        <v>0</v>
      </c>
    </row>
    <row r="11" spans="2:16" x14ac:dyDescent="0.35">
      <c r="H11" s="27"/>
      <c r="I11" s="27"/>
      <c r="J11" s="27"/>
      <c r="K11" s="27"/>
      <c r="N11" s="31" t="s">
        <v>73</v>
      </c>
      <c r="O11" s="32">
        <f ca="1">OFFSET(Rateios!$F$4,MATCH($N11,Rateios!$F$4:$F$17,0)-1,$K$19*2-1)</f>
        <v>0</v>
      </c>
      <c r="P11" s="32">
        <f ca="1">OFFSET(Rateios!$F$4,MATCH($N11,Rateios!$F$4:$F$17,0)-1,$K$19*2)</f>
        <v>0</v>
      </c>
    </row>
    <row r="12" spans="2:16" x14ac:dyDescent="0.35">
      <c r="B12" s="25"/>
      <c r="C12" s="25"/>
      <c r="D12" s="25"/>
      <c r="E12" s="25"/>
      <c r="F12" s="25"/>
      <c r="H12" s="27"/>
      <c r="I12" s="27"/>
      <c r="J12" s="27"/>
      <c r="K12" s="27"/>
      <c r="N12" s="31" t="s">
        <v>558</v>
      </c>
      <c r="O12" s="32">
        <f ca="1">OFFSET(Rateios!$F$4,MATCH($N12,Rateios!$F$4:$F$17,0)-1,$K$19*2-1)</f>
        <v>0</v>
      </c>
      <c r="P12" s="32">
        <f ca="1">OFFSET(Rateios!$F$4,MATCH($N12,Rateios!$F$4:$F$17,0)-1,$K$19*2)</f>
        <v>0</v>
      </c>
    </row>
    <row r="13" spans="2:16" x14ac:dyDescent="0.35">
      <c r="B13" s="25"/>
      <c r="C13" s="25"/>
      <c r="D13" s="25"/>
      <c r="E13" s="25"/>
      <c r="F13" s="25"/>
      <c r="N13" s="31" t="s">
        <v>67</v>
      </c>
      <c r="O13" s="32">
        <f ca="1">OFFSET(Rateios!$F$4,MATCH($N13,Rateios!$F$4:$F$17,0)-1,$K$19*2-1)</f>
        <v>0</v>
      </c>
      <c r="P13" s="32">
        <f ca="1">OFFSET(Rateios!$F$4,MATCH($N13,Rateios!$F$4:$F$17,0)-1,$K$19*2)</f>
        <v>0</v>
      </c>
    </row>
    <row r="14" spans="2:16" x14ac:dyDescent="0.35">
      <c r="B14" s="25"/>
      <c r="C14" s="25"/>
      <c r="D14" s="25"/>
      <c r="E14" s="25"/>
      <c r="F14" s="25"/>
      <c r="N14" s="31" t="s">
        <v>557</v>
      </c>
      <c r="O14" s="32">
        <f ca="1">OFFSET(Rateios!$F$4,MATCH($N14,Rateios!$F$4:$F$17,0)-1,$K$19*2-1)</f>
        <v>0</v>
      </c>
      <c r="P14" s="32">
        <f ca="1">OFFSET(Rateios!$F$4,MATCH($N14,Rateios!$F$4:$F$17,0)-1,$K$19*2)</f>
        <v>0</v>
      </c>
    </row>
    <row r="15" spans="2:16" x14ac:dyDescent="0.35">
      <c r="B15" s="33" t="s">
        <v>289</v>
      </c>
      <c r="C15" s="34"/>
      <c r="D15" s="35">
        <v>43466</v>
      </c>
      <c r="E15" s="34"/>
      <c r="F15" s="34"/>
      <c r="N15" s="31" t="s">
        <v>560</v>
      </c>
      <c r="O15" s="32">
        <f ca="1">OFFSET(Rateios!$F$4,MATCH($N15,Rateios!$F$4:$F$17,0)-1,$K$19*2-1)</f>
        <v>0</v>
      </c>
      <c r="P15" s="32">
        <f ca="1">OFFSET(Rateios!$F$4,MATCH($N15,Rateios!$F$4:$F$17,0)-1,$K$19*2)</f>
        <v>0</v>
      </c>
    </row>
    <row r="16" spans="2:16" x14ac:dyDescent="0.35">
      <c r="B16" s="33" t="s">
        <v>290</v>
      </c>
      <c r="C16" s="34"/>
      <c r="D16" s="34" t="str">
        <f>"Diários Leica "&amp;TEXT($D$15, "aaaa-mm")&amp;".txt"</f>
        <v>Diários Leica 2019-01.txt</v>
      </c>
      <c r="E16" s="34"/>
      <c r="F16" s="34"/>
      <c r="O16" s="36"/>
      <c r="P16" s="36"/>
    </row>
    <row r="17" spans="2:16" x14ac:dyDescent="0.35">
      <c r="B17" s="33" t="s">
        <v>291</v>
      </c>
      <c r="C17" s="34"/>
      <c r="D17" s="34" t="str">
        <f>"Diários Manfra "&amp;TEXT($D$15, "aaaa-mm")&amp;".txt"</f>
        <v>Diários Manfra 2019-01.txt</v>
      </c>
      <c r="E17" s="34"/>
      <c r="F17" s="34"/>
      <c r="K17" s="37"/>
      <c r="N17" s="28"/>
      <c r="O17" s="28"/>
      <c r="P17" s="28"/>
    </row>
    <row r="18" spans="2:16" x14ac:dyDescent="0.35">
      <c r="B18" s="33" t="s">
        <v>292</v>
      </c>
      <c r="C18" s="34"/>
      <c r="D18" s="34" t="str">
        <f>"DRE Leica "&amp;TEXT($D$15, "aaaa-mm")&amp;".csv"</f>
        <v>DRE Leica 2019-01.csv</v>
      </c>
      <c r="E18" s="34"/>
      <c r="F18" s="34"/>
      <c r="K18" s="37" t="s">
        <v>1085</v>
      </c>
      <c r="N18" s="28" t="s">
        <v>1071</v>
      </c>
      <c r="O18" s="28"/>
      <c r="P18" s="38">
        <f ca="1">OFFSET(Rateios!$F$16,0,K19*2-1)</f>
        <v>0</v>
      </c>
    </row>
    <row r="19" spans="2:16" x14ac:dyDescent="0.35">
      <c r="B19" s="33" t="s">
        <v>293</v>
      </c>
      <c r="C19" s="34"/>
      <c r="D19" s="34" t="str">
        <f>"DRE Manfra "&amp;TEXT($D$15, "aaaa-mm")&amp;".csv"</f>
        <v>DRE Manfra 2019-01.csv</v>
      </c>
      <c r="E19" s="34"/>
      <c r="F19" s="34"/>
      <c r="K19" s="39">
        <v>1</v>
      </c>
      <c r="N19" s="28" t="s">
        <v>1080</v>
      </c>
      <c r="O19" s="28"/>
      <c r="P19" s="28">
        <f ca="1">OFFSET(Rateios!$F$17,0,K19*2-1)</f>
        <v>0</v>
      </c>
    </row>
    <row r="20" spans="2:16" x14ac:dyDescent="0.35">
      <c r="B20" s="25"/>
      <c r="C20" s="25"/>
      <c r="D20" s="25"/>
      <c r="E20" s="25"/>
      <c r="F20" s="25"/>
    </row>
  </sheetData>
  <sheetProtection selectLockedCells="1"/>
  <pageMargins left="0.511811024" right="0.511811024" top="0.78740157499999996" bottom="0.78740157499999996" header="0.31496062000000002" footer="0.31496062000000002"/>
  <pageSetup paperSize="9" orientation="portrait" r:id="rId1"/>
  <customProperties>
    <customPr name="_pios_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in">
                <anchor moveWithCells="1" sizeWithCells="1">
                  <from>
                    <xdr:col>2</xdr:col>
                    <xdr:colOff>304800</xdr:colOff>
                    <xdr:row>3</xdr:row>
                    <xdr:rowOff>0</xdr:rowOff>
                  </from>
                  <to>
                    <xdr:col>4</xdr:col>
                    <xdr:colOff>571500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Notas_Emitidas">
                <anchor moveWithCells="1" sizeWithCells="1">
                  <from>
                    <xdr:col>7</xdr:col>
                    <xdr:colOff>514350</xdr:colOff>
                    <xdr:row>3</xdr:row>
                    <xdr:rowOff>12700</xdr:rowOff>
                  </from>
                  <to>
                    <xdr:col>10</xdr:col>
                    <xdr:colOff>203200</xdr:colOff>
                    <xdr:row>4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Cria_Tabelas_Dinamicas">
                <anchor moveWithCells="1" sizeWithCells="1">
                  <from>
                    <xdr:col>7</xdr:col>
                    <xdr:colOff>514350</xdr:colOff>
                    <xdr:row>5</xdr:row>
                    <xdr:rowOff>50800</xdr:rowOff>
                  </from>
                  <to>
                    <xdr:col>10</xdr:col>
                    <xdr:colOff>203200</xdr:colOff>
                    <xdr:row>6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Atualiza_Cadastro_Produtos">
                <anchor moveWithCells="1" sizeWithCells="1">
                  <from>
                    <xdr:col>7</xdr:col>
                    <xdr:colOff>514350</xdr:colOff>
                    <xdr:row>7</xdr:row>
                    <xdr:rowOff>95250</xdr:rowOff>
                  </from>
                  <to>
                    <xdr:col>10</xdr:col>
                    <xdr:colOff>203200</xdr:colOff>
                    <xdr:row>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Acerta_Escritorio">
                <anchor moveWithCells="1" sizeWithCells="1">
                  <from>
                    <xdr:col>7</xdr:col>
                    <xdr:colOff>514350</xdr:colOff>
                    <xdr:row>9</xdr:row>
                    <xdr:rowOff>133350</xdr:rowOff>
                  </from>
                  <to>
                    <xdr:col>10</xdr:col>
                    <xdr:colOff>203200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Cria_Relatorios_Reporting">
                <anchor moveWithCells="1" sizeWithCells="1">
                  <from>
                    <xdr:col>2</xdr:col>
                    <xdr:colOff>304800</xdr:colOff>
                    <xdr:row>5</xdr:row>
                    <xdr:rowOff>107950</xdr:rowOff>
                  </from>
                  <to>
                    <xdr:col>4</xdr:col>
                    <xdr:colOff>571500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Novo_Mes">
                <anchor moveWithCells="1" sizeWithCells="1">
                  <from>
                    <xdr:col>2</xdr:col>
                    <xdr:colOff>298450</xdr:colOff>
                    <xdr:row>11</xdr:row>
                    <xdr:rowOff>146050</xdr:rowOff>
                  </from>
                  <to>
                    <xdr:col>4</xdr:col>
                    <xdr:colOff>565150</xdr:colOff>
                    <xdr:row>13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DFC">
                <anchor moveWithCells="1" sizeWithCells="1">
                  <from>
                    <xdr:col>7</xdr:col>
                    <xdr:colOff>76200</xdr:colOff>
                    <xdr:row>13</xdr:row>
                    <xdr:rowOff>152400</xdr:rowOff>
                  </from>
                  <to>
                    <xdr:col>8</xdr:col>
                    <xdr:colOff>146050</xdr:colOff>
                    <xdr:row>15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Cria_BD_OPEX">
                <anchor moveWithCells="1" sizeWithCells="1">
                  <from>
                    <xdr:col>9</xdr:col>
                    <xdr:colOff>88900</xdr:colOff>
                    <xdr:row>13</xdr:row>
                    <xdr:rowOff>146050</xdr:rowOff>
                  </from>
                  <to>
                    <xdr:col>10</xdr:col>
                    <xdr:colOff>590550</xdr:colOff>
                    <xdr:row>15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9"/>
  <dimension ref="A1:AD51"/>
  <sheetViews>
    <sheetView topLeftCell="F1" workbookViewId="0">
      <pane xSplit="1" ySplit="3" topLeftCell="G4" activePane="bottomRight" state="frozen"/>
      <selection activeCell="F1" sqref="F1"/>
      <selection pane="topRight" activeCell="G1" sqref="G1"/>
      <selection pane="bottomLeft" activeCell="F4" sqref="F4"/>
      <selection pane="bottomRight" activeCell="G4" sqref="G4"/>
    </sheetView>
  </sheetViews>
  <sheetFormatPr defaultRowHeight="14.5" x14ac:dyDescent="0.35"/>
  <cols>
    <col min="1" max="1" width="14.453125" customWidth="1"/>
    <col min="2" max="2" width="10.54296875" customWidth="1"/>
    <col min="3" max="3" width="12.453125" customWidth="1"/>
    <col min="6" max="6" width="15.81640625" customWidth="1"/>
    <col min="7" max="7" width="12.54296875" customWidth="1"/>
    <col min="8" max="8" width="11.54296875" customWidth="1"/>
    <col min="9" max="9" width="12.54296875" style="13" customWidth="1"/>
    <col min="10" max="10" width="11.54296875" style="13" customWidth="1"/>
    <col min="11" max="11" width="12.54296875" style="13" customWidth="1"/>
    <col min="12" max="12" width="11.54296875" style="13" customWidth="1"/>
    <col min="13" max="13" width="13.26953125" style="13" customWidth="1"/>
    <col min="14" max="14" width="11.54296875" style="13" customWidth="1"/>
    <col min="15" max="15" width="13.26953125" style="13" customWidth="1"/>
    <col min="16" max="16" width="11.54296875" style="13" customWidth="1"/>
    <col min="17" max="17" width="13.26953125" customWidth="1"/>
    <col min="18" max="18" width="11.54296875" customWidth="1"/>
    <col min="19" max="19" width="13.26953125" bestFit="1" customWidth="1"/>
    <col min="20" max="20" width="11.54296875" bestFit="1" customWidth="1"/>
    <col min="21" max="26" width="13.26953125" bestFit="1" customWidth="1"/>
    <col min="27" max="28" width="13.26953125" style="13" bestFit="1" customWidth="1"/>
    <col min="29" max="30" width="13.26953125" bestFit="1" customWidth="1"/>
  </cols>
  <sheetData>
    <row r="1" spans="1:30" x14ac:dyDescent="0.35">
      <c r="A1" t="s">
        <v>1065</v>
      </c>
      <c r="B1" t="s">
        <v>1066</v>
      </c>
      <c r="C1" t="s">
        <v>1067</v>
      </c>
      <c r="G1" t="s">
        <v>1078</v>
      </c>
    </row>
    <row r="2" spans="1:30" x14ac:dyDescent="0.35">
      <c r="A2" s="13" t="s">
        <v>1068</v>
      </c>
      <c r="B2" s="13" t="s">
        <v>83</v>
      </c>
      <c r="C2" s="14">
        <v>0.26403157710982811</v>
      </c>
      <c r="G2" s="43" t="s">
        <v>1079</v>
      </c>
      <c r="H2" s="43"/>
      <c r="I2" s="43" t="s">
        <v>1081</v>
      </c>
      <c r="J2" s="43"/>
      <c r="K2" s="43" t="s">
        <v>1082</v>
      </c>
      <c r="L2" s="43"/>
      <c r="M2" s="43" t="s">
        <v>1083</v>
      </c>
      <c r="N2" s="43"/>
      <c r="O2" s="43" t="s">
        <v>1084</v>
      </c>
      <c r="P2" s="43"/>
      <c r="Q2" s="43" t="s">
        <v>1091</v>
      </c>
      <c r="R2" s="43"/>
      <c r="S2" s="43" t="s">
        <v>1093</v>
      </c>
      <c r="T2" s="43"/>
      <c r="U2" s="43" t="s">
        <v>1094</v>
      </c>
      <c r="V2" s="43"/>
      <c r="W2" s="43" t="s">
        <v>1095</v>
      </c>
      <c r="X2" s="43"/>
      <c r="Y2" s="43" t="s">
        <v>1096</v>
      </c>
      <c r="Z2" s="43"/>
      <c r="AA2" s="43" t="s">
        <v>1106</v>
      </c>
      <c r="AB2" s="43"/>
      <c r="AC2" s="43" t="s">
        <v>1107</v>
      </c>
      <c r="AD2" s="43"/>
    </row>
    <row r="3" spans="1:30" x14ac:dyDescent="0.35">
      <c r="A3" s="13" t="s">
        <v>1068</v>
      </c>
      <c r="B3" s="13" t="s">
        <v>18</v>
      </c>
      <c r="C3" s="14">
        <v>6.9422444057956029E-2</v>
      </c>
      <c r="F3" s="13" t="s">
        <v>1075</v>
      </c>
      <c r="G3" s="17" t="s">
        <v>1076</v>
      </c>
      <c r="H3" s="17" t="s">
        <v>1077</v>
      </c>
      <c r="I3" s="17" t="s">
        <v>1076</v>
      </c>
      <c r="J3" s="17" t="s">
        <v>1077</v>
      </c>
      <c r="K3" s="18" t="s">
        <v>1076</v>
      </c>
      <c r="L3" s="18" t="s">
        <v>1077</v>
      </c>
      <c r="M3" s="18" t="s">
        <v>1076</v>
      </c>
      <c r="N3" s="18" t="s">
        <v>1077</v>
      </c>
      <c r="O3" s="18" t="s">
        <v>1076</v>
      </c>
      <c r="P3" s="18" t="s">
        <v>1077</v>
      </c>
      <c r="Q3" s="19" t="s">
        <v>1076</v>
      </c>
      <c r="R3" s="19" t="s">
        <v>1077</v>
      </c>
      <c r="S3" s="21" t="s">
        <v>1076</v>
      </c>
      <c r="T3" s="21" t="s">
        <v>1077</v>
      </c>
      <c r="U3" s="22" t="s">
        <v>1076</v>
      </c>
      <c r="V3" s="22" t="s">
        <v>1077</v>
      </c>
      <c r="W3" s="23" t="s">
        <v>1076</v>
      </c>
      <c r="X3" s="23" t="s">
        <v>1077</v>
      </c>
      <c r="Y3" s="24" t="s">
        <v>1076</v>
      </c>
      <c r="Z3" s="24" t="s">
        <v>1077</v>
      </c>
      <c r="AA3" s="40" t="s">
        <v>1076</v>
      </c>
      <c r="AB3" s="40" t="s">
        <v>1077</v>
      </c>
      <c r="AC3" s="41" t="s">
        <v>1076</v>
      </c>
      <c r="AD3" s="41" t="s">
        <v>1077</v>
      </c>
    </row>
    <row r="4" spans="1:30" x14ac:dyDescent="0.35">
      <c r="A4" s="13" t="s">
        <v>1068</v>
      </c>
      <c r="B4" s="13" t="s">
        <v>88</v>
      </c>
      <c r="C4" s="14">
        <v>0.10244457518959843</v>
      </c>
      <c r="F4" s="13" t="s">
        <v>567</v>
      </c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</row>
    <row r="5" spans="1:30" x14ac:dyDescent="0.35">
      <c r="A5" s="13" t="s">
        <v>1068</v>
      </c>
      <c r="B5" s="13" t="s">
        <v>90</v>
      </c>
      <c r="C5" s="14">
        <v>0.17412991614350645</v>
      </c>
      <c r="F5" s="13" t="s">
        <v>560</v>
      </c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</row>
    <row r="6" spans="1:30" x14ac:dyDescent="0.35">
      <c r="A6" s="13" t="s">
        <v>1068</v>
      </c>
      <c r="B6" s="13" t="s">
        <v>84</v>
      </c>
      <c r="C6" s="14">
        <v>9.0266957179525306E-2</v>
      </c>
      <c r="F6" s="13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</row>
    <row r="7" spans="1:30" x14ac:dyDescent="0.35">
      <c r="A7" s="13" t="s">
        <v>1068</v>
      </c>
      <c r="B7" s="13" t="s">
        <v>277</v>
      </c>
      <c r="C7" s="14">
        <v>0.29970453031958566</v>
      </c>
      <c r="F7" s="13" t="s">
        <v>556</v>
      </c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</row>
    <row r="8" spans="1:30" x14ac:dyDescent="0.35">
      <c r="A8" s="13" t="s">
        <v>555</v>
      </c>
      <c r="B8" s="13" t="s">
        <v>83</v>
      </c>
      <c r="C8" s="14">
        <v>9.7277371971781351E-2</v>
      </c>
      <c r="F8" s="13" t="s">
        <v>561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</row>
    <row r="9" spans="1:30" x14ac:dyDescent="0.35">
      <c r="A9" s="13" t="s">
        <v>555</v>
      </c>
      <c r="B9" s="13" t="s">
        <v>18</v>
      </c>
      <c r="C9" s="14">
        <v>2.5577368388050255E-2</v>
      </c>
      <c r="F9" s="13" t="s">
        <v>559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</row>
    <row r="10" spans="1:30" x14ac:dyDescent="0.35">
      <c r="A10" s="13" t="s">
        <v>555</v>
      </c>
      <c r="B10" s="13" t="s">
        <v>88</v>
      </c>
      <c r="C10" s="14">
        <v>3.7743739428047145E-2</v>
      </c>
      <c r="F10" s="13" t="s">
        <v>73</v>
      </c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</row>
    <row r="11" spans="1:30" x14ac:dyDescent="0.35">
      <c r="A11" s="13" t="s">
        <v>555</v>
      </c>
      <c r="B11" s="13" t="s">
        <v>90</v>
      </c>
      <c r="C11" s="14">
        <v>6.4154828788001245E-2</v>
      </c>
      <c r="F11" s="13" t="s">
        <v>558</v>
      </c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</row>
    <row r="12" spans="1:30" x14ac:dyDescent="0.35">
      <c r="A12" s="13" t="s">
        <v>555</v>
      </c>
      <c r="B12" s="13" t="s">
        <v>84</v>
      </c>
      <c r="C12" s="14">
        <v>3.3257129569244571E-2</v>
      </c>
      <c r="F12" s="13" t="s">
        <v>67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</row>
    <row r="13" spans="1:30" x14ac:dyDescent="0.35">
      <c r="A13" s="13" t="s">
        <v>555</v>
      </c>
      <c r="B13" s="13" t="s">
        <v>277</v>
      </c>
      <c r="C13" s="14">
        <v>0.11042038757886559</v>
      </c>
      <c r="F13" s="13" t="s">
        <v>557</v>
      </c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</row>
    <row r="14" spans="1:30" x14ac:dyDescent="0.35">
      <c r="A14" s="13" t="s">
        <v>555</v>
      </c>
      <c r="B14" s="13" t="s">
        <v>567</v>
      </c>
      <c r="C14" s="15">
        <v>0.43586327025967148</v>
      </c>
      <c r="F14" s="13" t="s">
        <v>560</v>
      </c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</row>
    <row r="15" spans="1:30" x14ac:dyDescent="0.35">
      <c r="A15" s="13" t="s">
        <v>555</v>
      </c>
      <c r="B15" s="13" t="s">
        <v>560</v>
      </c>
      <c r="C15" s="15">
        <v>0.19570590401633833</v>
      </c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</row>
    <row r="16" spans="1:30" x14ac:dyDescent="0.35">
      <c r="A16" s="13" t="s">
        <v>1069</v>
      </c>
      <c r="B16" s="13" t="s">
        <v>556</v>
      </c>
      <c r="C16" s="15">
        <v>0.51265008732100492</v>
      </c>
      <c r="F16" t="s">
        <v>1071</v>
      </c>
      <c r="G16" s="16"/>
      <c r="I16" s="16"/>
      <c r="K16" s="16"/>
      <c r="M16" s="16"/>
      <c r="O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</row>
    <row r="17" spans="1:30" x14ac:dyDescent="0.35">
      <c r="A17" s="13" t="s">
        <v>1069</v>
      </c>
      <c r="B17" s="13" t="s">
        <v>561</v>
      </c>
      <c r="C17" s="15">
        <v>0.41276488541624462</v>
      </c>
      <c r="F17" t="s">
        <v>1080</v>
      </c>
      <c r="Q17" s="20"/>
      <c r="R17" s="16"/>
      <c r="S17" s="20"/>
      <c r="T17" s="16"/>
      <c r="U17" s="20"/>
      <c r="V17" s="16"/>
      <c r="W17" s="20"/>
      <c r="X17" s="16"/>
      <c r="Y17" s="20"/>
      <c r="Z17" s="16"/>
      <c r="AA17" s="20"/>
      <c r="AB17" s="16"/>
      <c r="AC17" s="20"/>
      <c r="AD17" s="16"/>
    </row>
    <row r="18" spans="1:30" x14ac:dyDescent="0.35">
      <c r="A18" s="13" t="s">
        <v>1069</v>
      </c>
      <c r="B18" s="13" t="s">
        <v>559</v>
      </c>
      <c r="C18" s="15">
        <v>0.57249692148144748</v>
      </c>
    </row>
    <row r="19" spans="1:30" x14ac:dyDescent="0.35">
      <c r="A19" s="13" t="s">
        <v>1069</v>
      </c>
      <c r="B19" s="13" t="s">
        <v>73</v>
      </c>
      <c r="C19" s="15">
        <v>0.36691413434643583</v>
      </c>
    </row>
    <row r="20" spans="1:30" x14ac:dyDescent="0.35">
      <c r="A20" s="13" t="s">
        <v>1069</v>
      </c>
      <c r="B20" s="13" t="s">
        <v>558</v>
      </c>
      <c r="C20" s="15">
        <v>0.9038706480321469</v>
      </c>
    </row>
    <row r="21" spans="1:30" x14ac:dyDescent="0.35">
      <c r="A21" s="13" t="s">
        <v>1069</v>
      </c>
      <c r="B21" s="13" t="s">
        <v>67</v>
      </c>
      <c r="C21" s="15">
        <v>0.78740574383717177</v>
      </c>
    </row>
    <row r="22" spans="1:30" x14ac:dyDescent="0.35">
      <c r="A22" s="13" t="s">
        <v>1069</v>
      </c>
      <c r="B22" s="13" t="s">
        <v>557</v>
      </c>
      <c r="C22" s="15">
        <v>0.71940190353915201</v>
      </c>
    </row>
    <row r="23" spans="1:30" x14ac:dyDescent="0.35">
      <c r="A23" s="13" t="s">
        <v>1070</v>
      </c>
      <c r="B23" s="13" t="s">
        <v>556</v>
      </c>
      <c r="C23" s="15">
        <v>0.48734991267899508</v>
      </c>
    </row>
    <row r="24" spans="1:30" x14ac:dyDescent="0.35">
      <c r="A24" s="13" t="s">
        <v>1070</v>
      </c>
      <c r="B24" s="13" t="s">
        <v>561</v>
      </c>
      <c r="C24" s="15">
        <v>0.58723511458375532</v>
      </c>
    </row>
    <row r="25" spans="1:30" x14ac:dyDescent="0.35">
      <c r="A25" s="13" t="s">
        <v>1070</v>
      </c>
      <c r="B25" s="13" t="s">
        <v>559</v>
      </c>
      <c r="C25" s="15">
        <v>0.42750307851855252</v>
      </c>
    </row>
    <row r="26" spans="1:30" x14ac:dyDescent="0.35">
      <c r="A26" s="13" t="s">
        <v>1070</v>
      </c>
      <c r="B26" s="13" t="s">
        <v>73</v>
      </c>
      <c r="C26" s="15">
        <v>0.63308586565356417</v>
      </c>
    </row>
    <row r="27" spans="1:30" x14ac:dyDescent="0.35">
      <c r="A27" s="13" t="s">
        <v>1070</v>
      </c>
      <c r="B27" s="13" t="s">
        <v>558</v>
      </c>
      <c r="C27" s="15">
        <v>9.6129351967853105E-2</v>
      </c>
    </row>
    <row r="28" spans="1:30" x14ac:dyDescent="0.35">
      <c r="A28" s="13" t="s">
        <v>1070</v>
      </c>
      <c r="B28" s="13" t="s">
        <v>67</v>
      </c>
      <c r="C28" s="15">
        <v>0.21259425616282823</v>
      </c>
    </row>
    <row r="29" spans="1:30" x14ac:dyDescent="0.35">
      <c r="A29" s="13" t="s">
        <v>1070</v>
      </c>
      <c r="B29" s="13" t="s">
        <v>557</v>
      </c>
      <c r="C29" s="15">
        <v>0.28059809646084799</v>
      </c>
    </row>
    <row r="30" spans="1:30" x14ac:dyDescent="0.35">
      <c r="A30" t="s">
        <v>1072</v>
      </c>
      <c r="B30" s="13" t="s">
        <v>556</v>
      </c>
      <c r="C30" s="14">
        <v>0.75514936553115797</v>
      </c>
    </row>
    <row r="31" spans="1:30" x14ac:dyDescent="0.35">
      <c r="A31" s="13" t="s">
        <v>1072</v>
      </c>
      <c r="B31" s="13" t="s">
        <v>561</v>
      </c>
      <c r="C31" s="14">
        <v>0.12615459341082058</v>
      </c>
    </row>
    <row r="32" spans="1:30" x14ac:dyDescent="0.35">
      <c r="A32" s="13" t="s">
        <v>1072</v>
      </c>
      <c r="B32" s="13" t="s">
        <v>559</v>
      </c>
      <c r="C32" s="14">
        <v>5.3142882431178561E-2</v>
      </c>
    </row>
    <row r="33" spans="1:3" x14ac:dyDescent="0.35">
      <c r="A33" s="13" t="s">
        <v>1072</v>
      </c>
      <c r="B33" s="13" t="s">
        <v>73</v>
      </c>
      <c r="C33" s="14">
        <v>1.2060116161005422E-2</v>
      </c>
    </row>
    <row r="34" spans="1:3" x14ac:dyDescent="0.35">
      <c r="A34" s="13" t="s">
        <v>1072</v>
      </c>
      <c r="B34" s="13" t="s">
        <v>558</v>
      </c>
      <c r="C34" s="14">
        <v>9.5259493048513461E-3</v>
      </c>
    </row>
    <row r="35" spans="1:3" x14ac:dyDescent="0.35">
      <c r="A35" s="13" t="s">
        <v>1072</v>
      </c>
      <c r="B35" s="13" t="s">
        <v>67</v>
      </c>
      <c r="C35" s="14">
        <v>1.7150456266859963E-2</v>
      </c>
    </row>
    <row r="36" spans="1:3" x14ac:dyDescent="0.35">
      <c r="A36" s="13" t="s">
        <v>1072</v>
      </c>
      <c r="B36" s="13" t="s">
        <v>557</v>
      </c>
      <c r="C36" s="14">
        <v>2.6816636894126097E-2</v>
      </c>
    </row>
    <row r="37" spans="1:3" x14ac:dyDescent="0.35">
      <c r="A37" t="s">
        <v>1073</v>
      </c>
      <c r="B37" s="13" t="s">
        <v>556</v>
      </c>
      <c r="C37" s="12">
        <v>0.67145775077757375</v>
      </c>
    </row>
    <row r="38" spans="1:3" x14ac:dyDescent="0.35">
      <c r="A38" s="13" t="s">
        <v>1073</v>
      </c>
      <c r="B38" s="13" t="s">
        <v>561</v>
      </c>
      <c r="C38" s="12">
        <v>7.4954805528833768E-2</v>
      </c>
    </row>
    <row r="39" spans="1:3" x14ac:dyDescent="0.35">
      <c r="A39" s="13" t="s">
        <v>1073</v>
      </c>
      <c r="B39" s="13" t="s">
        <v>559</v>
      </c>
      <c r="C39" s="12">
        <v>6.0156796661344679E-2</v>
      </c>
    </row>
    <row r="40" spans="1:3" x14ac:dyDescent="0.35">
      <c r="A40" s="13" t="s">
        <v>1073</v>
      </c>
      <c r="B40" s="13" t="s">
        <v>73</v>
      </c>
      <c r="C40" s="12">
        <v>5.9082518798500381E-3</v>
      </c>
    </row>
    <row r="41" spans="1:3" x14ac:dyDescent="0.35">
      <c r="A41" s="13" t="s">
        <v>1073</v>
      </c>
      <c r="B41" s="13" t="s">
        <v>558</v>
      </c>
      <c r="C41" s="12">
        <v>7.571191328915057E-2</v>
      </c>
    </row>
    <row r="42" spans="1:3" x14ac:dyDescent="0.35">
      <c r="A42" s="13" t="s">
        <v>1073</v>
      </c>
      <c r="B42" s="13" t="s">
        <v>67</v>
      </c>
      <c r="C42" s="12">
        <v>5.3694328645167509E-2</v>
      </c>
    </row>
    <row r="43" spans="1:3" x14ac:dyDescent="0.35">
      <c r="A43" s="13" t="s">
        <v>1073</v>
      </c>
      <c r="B43" s="13" t="s">
        <v>557</v>
      </c>
      <c r="C43" s="12">
        <v>5.8116153218079641E-2</v>
      </c>
    </row>
    <row r="44" spans="1:3" x14ac:dyDescent="0.35">
      <c r="A44" t="s">
        <v>1074</v>
      </c>
      <c r="B44" t="s">
        <v>556</v>
      </c>
      <c r="C44" s="12">
        <v>0.57088407538270858</v>
      </c>
    </row>
    <row r="45" spans="1:3" x14ac:dyDescent="0.35">
      <c r="A45" s="13" t="s">
        <v>1074</v>
      </c>
      <c r="B45" t="s">
        <v>561</v>
      </c>
      <c r="C45" s="12">
        <v>7.9149287678698069E-2</v>
      </c>
    </row>
    <row r="46" spans="1:3" x14ac:dyDescent="0.35">
      <c r="A46" s="13" t="s">
        <v>1074</v>
      </c>
      <c r="B46" t="s">
        <v>559</v>
      </c>
      <c r="C46" s="12">
        <v>4.5799614176631823E-2</v>
      </c>
    </row>
    <row r="47" spans="1:3" x14ac:dyDescent="0.35">
      <c r="A47" s="13" t="s">
        <v>1074</v>
      </c>
      <c r="B47" t="s">
        <v>73</v>
      </c>
      <c r="C47" s="12">
        <v>7.018508541395756E-3</v>
      </c>
    </row>
    <row r="48" spans="1:3" x14ac:dyDescent="0.35">
      <c r="A48" s="13" t="s">
        <v>1074</v>
      </c>
      <c r="B48" t="s">
        <v>558</v>
      </c>
      <c r="C48" s="12">
        <v>3.6509695492017095E-2</v>
      </c>
    </row>
    <row r="49" spans="1:3" x14ac:dyDescent="0.35">
      <c r="A49" s="13" t="s">
        <v>1074</v>
      </c>
      <c r="B49" t="s">
        <v>67</v>
      </c>
      <c r="C49" s="12">
        <v>2.9722142441622666E-2</v>
      </c>
    </row>
    <row r="50" spans="1:3" x14ac:dyDescent="0.35">
      <c r="A50" s="13" t="s">
        <v>1074</v>
      </c>
      <c r="B50" t="s">
        <v>557</v>
      </c>
      <c r="C50" s="12">
        <v>3.5210772270587623E-2</v>
      </c>
    </row>
    <row r="51" spans="1:3" x14ac:dyDescent="0.35">
      <c r="A51" s="13" t="s">
        <v>1074</v>
      </c>
      <c r="B51" t="s">
        <v>560</v>
      </c>
      <c r="C51" s="12">
        <v>0.19570590401633833</v>
      </c>
    </row>
  </sheetData>
  <mergeCells count="12">
    <mergeCell ref="AC2:AD2"/>
    <mergeCell ref="AA2:AB2"/>
    <mergeCell ref="G2:H2"/>
    <mergeCell ref="I2:J2"/>
    <mergeCell ref="K2:L2"/>
    <mergeCell ref="M2:N2"/>
    <mergeCell ref="O2:P2"/>
    <mergeCell ref="Y2:Z2"/>
    <mergeCell ref="W2:X2"/>
    <mergeCell ref="U2:V2"/>
    <mergeCell ref="S2:T2"/>
    <mergeCell ref="Q2:R2"/>
  </mergeCells>
  <pageMargins left="0.511811024" right="0.511811024" top="0.78740157499999996" bottom="0.78740157499999996" header="0.31496062000000002" footer="0.31496062000000002"/>
  <pageSetup orientation="portrait" r:id="rId1"/>
  <customProperties>
    <customPr name="_pios_id" r:id="rId2"/>
  </customProperties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/>
  <dimension ref="A1:H174"/>
  <sheetViews>
    <sheetView workbookViewId="0"/>
  </sheetViews>
  <sheetFormatPr defaultRowHeight="14.5" x14ac:dyDescent="0.35"/>
  <cols>
    <col min="1" max="1" width="12.81640625" customWidth="1"/>
    <col min="2" max="2" width="59.7265625" bestFit="1" customWidth="1"/>
    <col min="6" max="6" width="9.26953125" customWidth="1"/>
    <col min="7" max="7" width="31.453125" bestFit="1" customWidth="1"/>
    <col min="8" max="8" width="9.26953125" customWidth="1"/>
  </cols>
  <sheetData>
    <row r="1" spans="1:8" x14ac:dyDescent="0.35">
      <c r="A1" t="s">
        <v>20</v>
      </c>
      <c r="B1" t="s">
        <v>19</v>
      </c>
      <c r="C1" t="s">
        <v>578</v>
      </c>
      <c r="D1" t="s">
        <v>22</v>
      </c>
      <c r="F1" t="s">
        <v>21</v>
      </c>
      <c r="G1" t="s">
        <v>19</v>
      </c>
      <c r="H1" t="s">
        <v>579</v>
      </c>
    </row>
    <row r="2" spans="1:8" x14ac:dyDescent="0.35">
      <c r="A2" s="1" t="s">
        <v>580</v>
      </c>
      <c r="B2" t="s">
        <v>581</v>
      </c>
      <c r="C2" t="s">
        <v>582</v>
      </c>
      <c r="D2" t="s">
        <v>583</v>
      </c>
      <c r="F2" t="s">
        <v>582</v>
      </c>
      <c r="G2" t="s">
        <v>584</v>
      </c>
      <c r="H2">
        <v>1</v>
      </c>
    </row>
    <row r="3" spans="1:8" x14ac:dyDescent="0.35">
      <c r="A3" s="1" t="s">
        <v>585</v>
      </c>
      <c r="B3" t="s">
        <v>586</v>
      </c>
      <c r="C3" t="s">
        <v>18</v>
      </c>
      <c r="D3" t="s">
        <v>583</v>
      </c>
      <c r="F3" t="s">
        <v>18</v>
      </c>
      <c r="G3" t="s">
        <v>587</v>
      </c>
      <c r="H3">
        <v>2</v>
      </c>
    </row>
    <row r="4" spans="1:8" x14ac:dyDescent="0.35">
      <c r="A4" s="1" t="s">
        <v>588</v>
      </c>
      <c r="B4" t="s">
        <v>589</v>
      </c>
      <c r="C4" t="s">
        <v>582</v>
      </c>
      <c r="D4" t="s">
        <v>583</v>
      </c>
      <c r="F4" t="s">
        <v>590</v>
      </c>
      <c r="G4" t="s">
        <v>591</v>
      </c>
      <c r="H4">
        <v>5</v>
      </c>
    </row>
    <row r="5" spans="1:8" x14ac:dyDescent="0.35">
      <c r="A5" s="1" t="s">
        <v>592</v>
      </c>
      <c r="B5" t="s">
        <v>593</v>
      </c>
      <c r="C5" t="s">
        <v>18</v>
      </c>
      <c r="D5" t="s">
        <v>583</v>
      </c>
      <c r="F5" t="s">
        <v>594</v>
      </c>
      <c r="G5" t="s">
        <v>595</v>
      </c>
      <c r="H5">
        <v>6</v>
      </c>
    </row>
    <row r="6" spans="1:8" x14ac:dyDescent="0.35">
      <c r="A6" s="1" t="s">
        <v>596</v>
      </c>
      <c r="B6" t="s">
        <v>597</v>
      </c>
      <c r="C6" t="s">
        <v>18</v>
      </c>
      <c r="D6" t="s">
        <v>583</v>
      </c>
      <c r="F6" t="s">
        <v>598</v>
      </c>
      <c r="G6" t="s">
        <v>599</v>
      </c>
      <c r="H6">
        <v>4</v>
      </c>
    </row>
    <row r="7" spans="1:8" x14ac:dyDescent="0.35">
      <c r="A7" s="1" t="s">
        <v>600</v>
      </c>
      <c r="B7" t="s">
        <v>601</v>
      </c>
      <c r="C7" t="s">
        <v>18</v>
      </c>
      <c r="D7" t="s">
        <v>583</v>
      </c>
      <c r="F7" t="s">
        <v>602</v>
      </c>
      <c r="G7" t="s">
        <v>603</v>
      </c>
      <c r="H7">
        <v>7</v>
      </c>
    </row>
    <row r="8" spans="1:8" x14ac:dyDescent="0.35">
      <c r="A8" s="1" t="s">
        <v>604</v>
      </c>
      <c r="B8" t="s">
        <v>605</v>
      </c>
      <c r="C8" t="s">
        <v>582</v>
      </c>
      <c r="D8" t="s">
        <v>583</v>
      </c>
      <c r="F8" t="s">
        <v>606</v>
      </c>
      <c r="G8" t="s">
        <v>607</v>
      </c>
      <c r="H8">
        <v>3</v>
      </c>
    </row>
    <row r="9" spans="1:8" x14ac:dyDescent="0.35">
      <c r="A9" s="1" t="s">
        <v>608</v>
      </c>
      <c r="B9" t="s">
        <v>609</v>
      </c>
      <c r="C9" t="s">
        <v>18</v>
      </c>
      <c r="D9" t="s">
        <v>583</v>
      </c>
    </row>
    <row r="10" spans="1:8" x14ac:dyDescent="0.35">
      <c r="A10" s="1" t="s">
        <v>610</v>
      </c>
      <c r="B10" t="s">
        <v>611</v>
      </c>
      <c r="C10" t="s">
        <v>18</v>
      </c>
      <c r="D10" t="s">
        <v>583</v>
      </c>
    </row>
    <row r="11" spans="1:8" x14ac:dyDescent="0.35">
      <c r="A11" s="1" t="s">
        <v>612</v>
      </c>
      <c r="B11" t="s">
        <v>613</v>
      </c>
      <c r="C11" t="s">
        <v>582</v>
      </c>
      <c r="D11" t="s">
        <v>583</v>
      </c>
    </row>
    <row r="12" spans="1:8" x14ac:dyDescent="0.35">
      <c r="A12" s="1" t="s">
        <v>614</v>
      </c>
      <c r="B12" t="s">
        <v>615</v>
      </c>
      <c r="C12" t="s">
        <v>18</v>
      </c>
      <c r="D12" t="s">
        <v>583</v>
      </c>
    </row>
    <row r="13" spans="1:8" x14ac:dyDescent="0.35">
      <c r="A13" s="1" t="s">
        <v>616</v>
      </c>
      <c r="B13" t="s">
        <v>617</v>
      </c>
      <c r="C13" t="s">
        <v>18</v>
      </c>
      <c r="D13" t="s">
        <v>583</v>
      </c>
    </row>
    <row r="14" spans="1:8" x14ac:dyDescent="0.35">
      <c r="A14" s="1" t="s">
        <v>618</v>
      </c>
      <c r="B14" t="s">
        <v>619</v>
      </c>
      <c r="C14" t="s">
        <v>582</v>
      </c>
      <c r="D14" t="s">
        <v>583</v>
      </c>
    </row>
    <row r="15" spans="1:8" x14ac:dyDescent="0.35">
      <c r="A15" s="1" t="s">
        <v>620</v>
      </c>
      <c r="B15" t="s">
        <v>621</v>
      </c>
      <c r="C15" t="s">
        <v>18</v>
      </c>
      <c r="D15" t="s">
        <v>583</v>
      </c>
    </row>
    <row r="16" spans="1:8" x14ac:dyDescent="0.35">
      <c r="A16" s="1" t="s">
        <v>622</v>
      </c>
      <c r="B16" t="s">
        <v>623</v>
      </c>
      <c r="C16" t="s">
        <v>582</v>
      </c>
      <c r="D16" t="s">
        <v>583</v>
      </c>
    </row>
    <row r="17" spans="1:4" x14ac:dyDescent="0.35">
      <c r="A17" s="1" t="s">
        <v>624</v>
      </c>
      <c r="B17" t="s">
        <v>625</v>
      </c>
      <c r="C17" t="s">
        <v>18</v>
      </c>
      <c r="D17" t="s">
        <v>583</v>
      </c>
    </row>
    <row r="18" spans="1:4" x14ac:dyDescent="0.35">
      <c r="A18" s="1" t="s">
        <v>626</v>
      </c>
      <c r="B18" t="s">
        <v>627</v>
      </c>
      <c r="C18" t="s">
        <v>582</v>
      </c>
      <c r="D18" t="s">
        <v>583</v>
      </c>
    </row>
    <row r="19" spans="1:4" x14ac:dyDescent="0.35">
      <c r="A19" s="1" t="s">
        <v>628</v>
      </c>
      <c r="B19" t="s">
        <v>629</v>
      </c>
      <c r="C19" t="s">
        <v>18</v>
      </c>
      <c r="D19" t="s">
        <v>583</v>
      </c>
    </row>
    <row r="20" spans="1:4" x14ac:dyDescent="0.35">
      <c r="A20" s="1" t="s">
        <v>630</v>
      </c>
      <c r="B20" t="s">
        <v>631</v>
      </c>
      <c r="C20" t="s">
        <v>582</v>
      </c>
      <c r="D20" t="s">
        <v>583</v>
      </c>
    </row>
    <row r="21" spans="1:4" x14ac:dyDescent="0.35">
      <c r="A21" s="1" t="s">
        <v>632</v>
      </c>
      <c r="B21" t="s">
        <v>633</v>
      </c>
      <c r="C21" t="s">
        <v>18</v>
      </c>
      <c r="D21" t="s">
        <v>583</v>
      </c>
    </row>
    <row r="22" spans="1:4" x14ac:dyDescent="0.35">
      <c r="A22" s="1" t="s">
        <v>634</v>
      </c>
      <c r="B22" t="s">
        <v>635</v>
      </c>
      <c r="C22" t="s">
        <v>636</v>
      </c>
      <c r="D22" t="s">
        <v>583</v>
      </c>
    </row>
    <row r="23" spans="1:4" x14ac:dyDescent="0.35">
      <c r="A23" s="1" t="s">
        <v>637</v>
      </c>
      <c r="B23" t="s">
        <v>638</v>
      </c>
      <c r="C23" t="s">
        <v>590</v>
      </c>
      <c r="D23" t="s">
        <v>583</v>
      </c>
    </row>
    <row r="24" spans="1:4" x14ac:dyDescent="0.35">
      <c r="A24" s="1" t="s">
        <v>639</v>
      </c>
      <c r="B24" t="s">
        <v>640</v>
      </c>
      <c r="C24" t="s">
        <v>590</v>
      </c>
      <c r="D24" t="s">
        <v>583</v>
      </c>
    </row>
    <row r="25" spans="1:4" x14ac:dyDescent="0.35">
      <c r="A25" s="1" t="s">
        <v>641</v>
      </c>
      <c r="B25" t="s">
        <v>642</v>
      </c>
      <c r="C25" t="s">
        <v>594</v>
      </c>
      <c r="D25" t="s">
        <v>583</v>
      </c>
    </row>
    <row r="26" spans="1:4" x14ac:dyDescent="0.35">
      <c r="A26" s="1" t="s">
        <v>643</v>
      </c>
      <c r="B26" t="s">
        <v>644</v>
      </c>
      <c r="C26" t="s">
        <v>590</v>
      </c>
      <c r="D26" t="s">
        <v>583</v>
      </c>
    </row>
    <row r="27" spans="1:4" x14ac:dyDescent="0.35">
      <c r="A27" s="1" t="s">
        <v>645</v>
      </c>
      <c r="B27" t="s">
        <v>646</v>
      </c>
      <c r="C27" t="s">
        <v>590</v>
      </c>
      <c r="D27" t="s">
        <v>583</v>
      </c>
    </row>
    <row r="28" spans="1:4" x14ac:dyDescent="0.35">
      <c r="A28" s="1" t="s">
        <v>647</v>
      </c>
      <c r="B28" t="s">
        <v>648</v>
      </c>
      <c r="C28" t="s">
        <v>590</v>
      </c>
      <c r="D28" t="s">
        <v>583</v>
      </c>
    </row>
    <row r="29" spans="1:4" x14ac:dyDescent="0.35">
      <c r="A29" s="1" t="s">
        <v>649</v>
      </c>
      <c r="B29" t="s">
        <v>650</v>
      </c>
      <c r="C29" t="s">
        <v>594</v>
      </c>
      <c r="D29" t="s">
        <v>583</v>
      </c>
    </row>
    <row r="30" spans="1:4" x14ac:dyDescent="0.35">
      <c r="A30" s="1" t="s">
        <v>651</v>
      </c>
      <c r="B30" t="s">
        <v>652</v>
      </c>
      <c r="C30" t="s">
        <v>594</v>
      </c>
      <c r="D30" t="s">
        <v>583</v>
      </c>
    </row>
    <row r="31" spans="1:4" x14ac:dyDescent="0.35">
      <c r="A31" s="1" t="s">
        <v>653</v>
      </c>
      <c r="B31" t="s">
        <v>654</v>
      </c>
      <c r="C31" t="s">
        <v>590</v>
      </c>
      <c r="D31" t="s">
        <v>583</v>
      </c>
    </row>
    <row r="32" spans="1:4" x14ac:dyDescent="0.35">
      <c r="A32" s="1" t="s">
        <v>655</v>
      </c>
      <c r="B32" t="s">
        <v>656</v>
      </c>
      <c r="C32" t="s">
        <v>590</v>
      </c>
      <c r="D32" t="s">
        <v>583</v>
      </c>
    </row>
    <row r="33" spans="1:4" x14ac:dyDescent="0.35">
      <c r="A33" s="1" t="s">
        <v>657</v>
      </c>
      <c r="B33" t="s">
        <v>658</v>
      </c>
      <c r="C33" t="s">
        <v>594</v>
      </c>
      <c r="D33" t="s">
        <v>583</v>
      </c>
    </row>
    <row r="34" spans="1:4" x14ac:dyDescent="0.35">
      <c r="A34" s="1" t="s">
        <v>659</v>
      </c>
      <c r="B34" t="s">
        <v>660</v>
      </c>
      <c r="C34" t="s">
        <v>590</v>
      </c>
      <c r="D34" t="s">
        <v>583</v>
      </c>
    </row>
    <row r="35" spans="1:4" x14ac:dyDescent="0.35">
      <c r="A35" s="1" t="s">
        <v>661</v>
      </c>
      <c r="B35" t="s">
        <v>662</v>
      </c>
      <c r="C35" t="s">
        <v>590</v>
      </c>
      <c r="D35" t="s">
        <v>583</v>
      </c>
    </row>
    <row r="36" spans="1:4" x14ac:dyDescent="0.35">
      <c r="A36" s="1" t="s">
        <v>663</v>
      </c>
      <c r="B36" t="s">
        <v>664</v>
      </c>
      <c r="C36" t="s">
        <v>590</v>
      </c>
      <c r="D36" t="s">
        <v>583</v>
      </c>
    </row>
    <row r="37" spans="1:4" x14ac:dyDescent="0.35">
      <c r="A37" s="1" t="s">
        <v>665</v>
      </c>
      <c r="B37" t="s">
        <v>666</v>
      </c>
      <c r="C37" t="s">
        <v>590</v>
      </c>
      <c r="D37" t="s">
        <v>583</v>
      </c>
    </row>
    <row r="38" spans="1:4" x14ac:dyDescent="0.35">
      <c r="A38" s="1" t="s">
        <v>667</v>
      </c>
      <c r="B38" t="s">
        <v>668</v>
      </c>
      <c r="C38" t="s">
        <v>590</v>
      </c>
      <c r="D38" t="s">
        <v>583</v>
      </c>
    </row>
    <row r="39" spans="1:4" x14ac:dyDescent="0.35">
      <c r="A39" s="1" t="s">
        <v>669</v>
      </c>
      <c r="B39" t="s">
        <v>670</v>
      </c>
      <c r="C39" t="s">
        <v>590</v>
      </c>
      <c r="D39" t="s">
        <v>583</v>
      </c>
    </row>
    <row r="40" spans="1:4" x14ac:dyDescent="0.35">
      <c r="A40" s="1" t="s">
        <v>671</v>
      </c>
      <c r="B40" t="s">
        <v>672</v>
      </c>
      <c r="C40" t="s">
        <v>590</v>
      </c>
      <c r="D40" t="s">
        <v>583</v>
      </c>
    </row>
    <row r="41" spans="1:4" x14ac:dyDescent="0.35">
      <c r="A41" s="1" t="s">
        <v>673</v>
      </c>
      <c r="B41" t="s">
        <v>674</v>
      </c>
      <c r="C41" t="s">
        <v>590</v>
      </c>
      <c r="D41" t="s">
        <v>583</v>
      </c>
    </row>
    <row r="42" spans="1:4" x14ac:dyDescent="0.35">
      <c r="A42" s="1" t="s">
        <v>675</v>
      </c>
      <c r="B42" t="s">
        <v>676</v>
      </c>
      <c r="C42" t="s">
        <v>590</v>
      </c>
      <c r="D42" t="s">
        <v>583</v>
      </c>
    </row>
    <row r="43" spans="1:4" x14ac:dyDescent="0.35">
      <c r="A43" s="1" t="s">
        <v>677</v>
      </c>
      <c r="B43" t="s">
        <v>678</v>
      </c>
      <c r="C43" t="s">
        <v>590</v>
      </c>
      <c r="D43" t="s">
        <v>583</v>
      </c>
    </row>
    <row r="44" spans="1:4" x14ac:dyDescent="0.35">
      <c r="A44" s="1" t="s">
        <v>679</v>
      </c>
      <c r="B44" t="s">
        <v>680</v>
      </c>
      <c r="C44" t="s">
        <v>590</v>
      </c>
      <c r="D44" t="s">
        <v>583</v>
      </c>
    </row>
    <row r="45" spans="1:4" x14ac:dyDescent="0.35">
      <c r="A45" s="1" t="s">
        <v>681</v>
      </c>
      <c r="B45" t="s">
        <v>682</v>
      </c>
      <c r="C45" t="s">
        <v>590</v>
      </c>
      <c r="D45" t="s">
        <v>583</v>
      </c>
    </row>
    <row r="46" spans="1:4" x14ac:dyDescent="0.35">
      <c r="A46" s="1" t="s">
        <v>683</v>
      </c>
      <c r="B46" t="s">
        <v>684</v>
      </c>
      <c r="C46" t="s">
        <v>590</v>
      </c>
      <c r="D46" t="s">
        <v>583</v>
      </c>
    </row>
    <row r="47" spans="1:4" x14ac:dyDescent="0.35">
      <c r="A47" s="1" t="s">
        <v>685</v>
      </c>
      <c r="B47" t="s">
        <v>686</v>
      </c>
      <c r="C47" t="s">
        <v>590</v>
      </c>
      <c r="D47" t="s">
        <v>583</v>
      </c>
    </row>
    <row r="48" spans="1:4" x14ac:dyDescent="0.35">
      <c r="A48" s="1" t="s">
        <v>687</v>
      </c>
      <c r="B48" t="s">
        <v>688</v>
      </c>
      <c r="C48" t="s">
        <v>590</v>
      </c>
      <c r="D48" t="s">
        <v>583</v>
      </c>
    </row>
    <row r="49" spans="1:4" x14ac:dyDescent="0.35">
      <c r="A49" s="1" t="s">
        <v>689</v>
      </c>
      <c r="B49" t="s">
        <v>690</v>
      </c>
      <c r="C49" t="s">
        <v>594</v>
      </c>
      <c r="D49" t="s">
        <v>583</v>
      </c>
    </row>
    <row r="50" spans="1:4" x14ac:dyDescent="0.35">
      <c r="A50" s="1" t="s">
        <v>691</v>
      </c>
      <c r="B50" t="s">
        <v>692</v>
      </c>
      <c r="C50" t="s">
        <v>590</v>
      </c>
      <c r="D50" t="s">
        <v>583</v>
      </c>
    </row>
    <row r="51" spans="1:4" x14ac:dyDescent="0.35">
      <c r="A51" s="1" t="s">
        <v>693</v>
      </c>
      <c r="B51" t="s">
        <v>694</v>
      </c>
      <c r="C51" t="s">
        <v>590</v>
      </c>
      <c r="D51" t="s">
        <v>583</v>
      </c>
    </row>
    <row r="52" spans="1:4" x14ac:dyDescent="0.35">
      <c r="A52" s="1" t="s">
        <v>695</v>
      </c>
      <c r="B52" t="s">
        <v>696</v>
      </c>
      <c r="C52" t="s">
        <v>590</v>
      </c>
      <c r="D52" t="s">
        <v>583</v>
      </c>
    </row>
    <row r="53" spans="1:4" x14ac:dyDescent="0.35">
      <c r="A53" s="1" t="s">
        <v>697</v>
      </c>
      <c r="B53" t="s">
        <v>698</v>
      </c>
      <c r="C53" t="s">
        <v>590</v>
      </c>
      <c r="D53" t="s">
        <v>583</v>
      </c>
    </row>
    <row r="54" spans="1:4" x14ac:dyDescent="0.35">
      <c r="A54" s="1" t="s">
        <v>699</v>
      </c>
      <c r="B54" t="s">
        <v>700</v>
      </c>
      <c r="C54" t="s">
        <v>594</v>
      </c>
      <c r="D54" t="s">
        <v>583</v>
      </c>
    </row>
    <row r="55" spans="1:4" x14ac:dyDescent="0.35">
      <c r="A55" s="1" t="s">
        <v>701</v>
      </c>
      <c r="B55" t="s">
        <v>702</v>
      </c>
      <c r="C55" t="s">
        <v>594</v>
      </c>
      <c r="D55" t="s">
        <v>583</v>
      </c>
    </row>
    <row r="56" spans="1:4" x14ac:dyDescent="0.35">
      <c r="A56" s="1" t="s">
        <v>703</v>
      </c>
      <c r="B56" t="s">
        <v>704</v>
      </c>
      <c r="C56" t="s">
        <v>594</v>
      </c>
      <c r="D56" t="s">
        <v>583</v>
      </c>
    </row>
    <row r="57" spans="1:4" x14ac:dyDescent="0.35">
      <c r="A57" s="1" t="s">
        <v>705</v>
      </c>
      <c r="B57" t="s">
        <v>706</v>
      </c>
      <c r="C57" t="s">
        <v>594</v>
      </c>
      <c r="D57" t="s">
        <v>583</v>
      </c>
    </row>
    <row r="58" spans="1:4" x14ac:dyDescent="0.35">
      <c r="A58" s="1" t="s">
        <v>707</v>
      </c>
      <c r="B58" t="s">
        <v>708</v>
      </c>
      <c r="C58" t="s">
        <v>594</v>
      </c>
      <c r="D58" t="s">
        <v>583</v>
      </c>
    </row>
    <row r="59" spans="1:4" x14ac:dyDescent="0.35">
      <c r="A59" s="1" t="s">
        <v>709</v>
      </c>
      <c r="B59" t="s">
        <v>710</v>
      </c>
      <c r="C59" t="s">
        <v>594</v>
      </c>
      <c r="D59" t="s">
        <v>583</v>
      </c>
    </row>
    <row r="60" spans="1:4" x14ac:dyDescent="0.35">
      <c r="A60" s="1" t="s">
        <v>711</v>
      </c>
      <c r="B60" t="s">
        <v>712</v>
      </c>
      <c r="C60" t="s">
        <v>594</v>
      </c>
      <c r="D60" t="s">
        <v>583</v>
      </c>
    </row>
    <row r="61" spans="1:4" x14ac:dyDescent="0.35">
      <c r="A61" s="1" t="s">
        <v>713</v>
      </c>
      <c r="B61" t="s">
        <v>714</v>
      </c>
      <c r="C61" t="s">
        <v>594</v>
      </c>
      <c r="D61" t="s">
        <v>583</v>
      </c>
    </row>
    <row r="62" spans="1:4" x14ac:dyDescent="0.35">
      <c r="A62" s="1" t="s">
        <v>715</v>
      </c>
      <c r="B62" t="s">
        <v>716</v>
      </c>
      <c r="C62" t="s">
        <v>594</v>
      </c>
      <c r="D62" t="s">
        <v>583</v>
      </c>
    </row>
    <row r="63" spans="1:4" x14ac:dyDescent="0.35">
      <c r="A63" s="1" t="s">
        <v>717</v>
      </c>
      <c r="B63" t="s">
        <v>718</v>
      </c>
      <c r="C63" t="s">
        <v>590</v>
      </c>
      <c r="D63" t="s">
        <v>583</v>
      </c>
    </row>
    <row r="64" spans="1:4" x14ac:dyDescent="0.35">
      <c r="A64" s="1" t="s">
        <v>719</v>
      </c>
      <c r="B64" t="s">
        <v>720</v>
      </c>
      <c r="C64" t="s">
        <v>590</v>
      </c>
      <c r="D64" t="s">
        <v>583</v>
      </c>
    </row>
    <row r="65" spans="1:4" x14ac:dyDescent="0.35">
      <c r="A65" s="1" t="s">
        <v>721</v>
      </c>
      <c r="B65" t="s">
        <v>722</v>
      </c>
      <c r="C65" t="s">
        <v>594</v>
      </c>
      <c r="D65" t="s">
        <v>583</v>
      </c>
    </row>
    <row r="66" spans="1:4" x14ac:dyDescent="0.35">
      <c r="A66" s="1" t="s">
        <v>723</v>
      </c>
      <c r="B66" t="s">
        <v>724</v>
      </c>
      <c r="C66" t="s">
        <v>594</v>
      </c>
      <c r="D66" t="s">
        <v>583</v>
      </c>
    </row>
    <row r="67" spans="1:4" x14ac:dyDescent="0.35">
      <c r="A67" s="1" t="s">
        <v>725</v>
      </c>
      <c r="B67" t="s">
        <v>726</v>
      </c>
      <c r="C67" t="s">
        <v>594</v>
      </c>
      <c r="D67" t="s">
        <v>583</v>
      </c>
    </row>
    <row r="68" spans="1:4" x14ac:dyDescent="0.35">
      <c r="A68" s="1" t="s">
        <v>727</v>
      </c>
      <c r="B68" t="s">
        <v>728</v>
      </c>
      <c r="C68" t="s">
        <v>594</v>
      </c>
      <c r="D68" t="s">
        <v>583</v>
      </c>
    </row>
    <row r="69" spans="1:4" x14ac:dyDescent="0.35">
      <c r="A69" s="1" t="s">
        <v>729</v>
      </c>
      <c r="B69" t="s">
        <v>730</v>
      </c>
      <c r="C69" t="s">
        <v>594</v>
      </c>
      <c r="D69" t="s">
        <v>583</v>
      </c>
    </row>
    <row r="70" spans="1:4" x14ac:dyDescent="0.35">
      <c r="A70" s="1" t="s">
        <v>731</v>
      </c>
      <c r="B70" t="s">
        <v>732</v>
      </c>
      <c r="C70" t="s">
        <v>594</v>
      </c>
      <c r="D70" t="s">
        <v>583</v>
      </c>
    </row>
    <row r="71" spans="1:4" x14ac:dyDescent="0.35">
      <c r="A71" s="1" t="s">
        <v>733</v>
      </c>
      <c r="B71" t="s">
        <v>734</v>
      </c>
      <c r="C71" t="s">
        <v>594</v>
      </c>
      <c r="D71" t="s">
        <v>583</v>
      </c>
    </row>
    <row r="72" spans="1:4" x14ac:dyDescent="0.35">
      <c r="A72" s="1" t="s">
        <v>735</v>
      </c>
      <c r="B72" t="s">
        <v>736</v>
      </c>
      <c r="C72" t="s">
        <v>594</v>
      </c>
      <c r="D72" t="s">
        <v>583</v>
      </c>
    </row>
    <row r="73" spans="1:4" x14ac:dyDescent="0.35">
      <c r="A73" s="1" t="s">
        <v>737</v>
      </c>
      <c r="B73" t="s">
        <v>738</v>
      </c>
      <c r="C73" t="s">
        <v>594</v>
      </c>
      <c r="D73" t="s">
        <v>583</v>
      </c>
    </row>
    <row r="74" spans="1:4" x14ac:dyDescent="0.35">
      <c r="A74" s="1" t="s">
        <v>739</v>
      </c>
      <c r="B74" t="s">
        <v>740</v>
      </c>
      <c r="C74" t="s">
        <v>594</v>
      </c>
      <c r="D74" t="s">
        <v>583</v>
      </c>
    </row>
    <row r="75" spans="1:4" x14ac:dyDescent="0.35">
      <c r="A75" s="1" t="s">
        <v>741</v>
      </c>
      <c r="B75" t="s">
        <v>742</v>
      </c>
      <c r="C75" t="s">
        <v>594</v>
      </c>
      <c r="D75" t="s">
        <v>583</v>
      </c>
    </row>
    <row r="76" spans="1:4" x14ac:dyDescent="0.35">
      <c r="A76" s="1" t="s">
        <v>743</v>
      </c>
      <c r="B76" t="s">
        <v>744</v>
      </c>
      <c r="C76" t="s">
        <v>594</v>
      </c>
      <c r="D76" t="s">
        <v>583</v>
      </c>
    </row>
    <row r="77" spans="1:4" x14ac:dyDescent="0.35">
      <c r="A77" s="1" t="s">
        <v>745</v>
      </c>
      <c r="B77" t="s">
        <v>746</v>
      </c>
      <c r="C77" t="s">
        <v>590</v>
      </c>
      <c r="D77" t="s">
        <v>583</v>
      </c>
    </row>
    <row r="78" spans="1:4" x14ac:dyDescent="0.35">
      <c r="A78" s="1" t="s">
        <v>747</v>
      </c>
      <c r="B78" t="s">
        <v>748</v>
      </c>
      <c r="C78" t="s">
        <v>590</v>
      </c>
      <c r="D78" t="s">
        <v>583</v>
      </c>
    </row>
    <row r="79" spans="1:4" x14ac:dyDescent="0.35">
      <c r="A79" s="1" t="s">
        <v>749</v>
      </c>
      <c r="B79" t="s">
        <v>750</v>
      </c>
      <c r="C79" t="s">
        <v>590</v>
      </c>
      <c r="D79" t="s">
        <v>583</v>
      </c>
    </row>
    <row r="80" spans="1:4" x14ac:dyDescent="0.35">
      <c r="A80" s="1" t="s">
        <v>751</v>
      </c>
      <c r="B80" t="s">
        <v>752</v>
      </c>
      <c r="C80" t="s">
        <v>590</v>
      </c>
      <c r="D80" t="s">
        <v>583</v>
      </c>
    </row>
    <row r="81" spans="1:4" x14ac:dyDescent="0.35">
      <c r="A81" s="1" t="s">
        <v>753</v>
      </c>
      <c r="B81" t="s">
        <v>754</v>
      </c>
      <c r="C81" t="s">
        <v>590</v>
      </c>
      <c r="D81" t="s">
        <v>583</v>
      </c>
    </row>
    <row r="82" spans="1:4" x14ac:dyDescent="0.35">
      <c r="A82" s="1" t="s">
        <v>755</v>
      </c>
      <c r="B82" t="s">
        <v>756</v>
      </c>
      <c r="C82" t="s">
        <v>590</v>
      </c>
      <c r="D82" t="s">
        <v>583</v>
      </c>
    </row>
    <row r="83" spans="1:4" x14ac:dyDescent="0.35">
      <c r="A83" s="1" t="s">
        <v>757</v>
      </c>
      <c r="B83" t="s">
        <v>758</v>
      </c>
      <c r="C83" t="s">
        <v>590</v>
      </c>
      <c r="D83" t="s">
        <v>583</v>
      </c>
    </row>
    <row r="84" spans="1:4" x14ac:dyDescent="0.35">
      <c r="A84" s="1" t="s">
        <v>759</v>
      </c>
      <c r="B84" t="s">
        <v>760</v>
      </c>
      <c r="C84" t="s">
        <v>590</v>
      </c>
      <c r="D84" t="s">
        <v>583</v>
      </c>
    </row>
    <row r="85" spans="1:4" x14ac:dyDescent="0.35">
      <c r="A85" s="1" t="s">
        <v>761</v>
      </c>
      <c r="B85" t="s">
        <v>762</v>
      </c>
      <c r="C85" t="s">
        <v>594</v>
      </c>
      <c r="D85" t="s">
        <v>583</v>
      </c>
    </row>
    <row r="86" spans="1:4" x14ac:dyDescent="0.35">
      <c r="A86" s="1" t="s">
        <v>763</v>
      </c>
      <c r="B86" t="s">
        <v>764</v>
      </c>
      <c r="C86" t="s">
        <v>594</v>
      </c>
      <c r="D86" t="s">
        <v>583</v>
      </c>
    </row>
    <row r="87" spans="1:4" x14ac:dyDescent="0.35">
      <c r="A87" s="1" t="s">
        <v>765</v>
      </c>
      <c r="B87" t="s">
        <v>766</v>
      </c>
      <c r="C87" t="s">
        <v>594</v>
      </c>
      <c r="D87" t="s">
        <v>583</v>
      </c>
    </row>
    <row r="88" spans="1:4" x14ac:dyDescent="0.35">
      <c r="A88" s="1" t="s">
        <v>767</v>
      </c>
      <c r="B88" t="s">
        <v>768</v>
      </c>
      <c r="C88" t="s">
        <v>594</v>
      </c>
      <c r="D88" t="s">
        <v>583</v>
      </c>
    </row>
    <row r="89" spans="1:4" x14ac:dyDescent="0.35">
      <c r="A89" s="1" t="s">
        <v>769</v>
      </c>
      <c r="B89" t="s">
        <v>770</v>
      </c>
      <c r="C89" t="s">
        <v>594</v>
      </c>
      <c r="D89" t="s">
        <v>583</v>
      </c>
    </row>
    <row r="90" spans="1:4" x14ac:dyDescent="0.35">
      <c r="A90" s="1" t="s">
        <v>771</v>
      </c>
      <c r="B90" t="s">
        <v>772</v>
      </c>
      <c r="C90" t="s">
        <v>594</v>
      </c>
      <c r="D90" t="s">
        <v>583</v>
      </c>
    </row>
    <row r="91" spans="1:4" x14ac:dyDescent="0.35">
      <c r="A91" s="1" t="s">
        <v>773</v>
      </c>
      <c r="B91" t="s">
        <v>774</v>
      </c>
      <c r="C91" t="s">
        <v>594</v>
      </c>
      <c r="D91" t="s">
        <v>583</v>
      </c>
    </row>
    <row r="92" spans="1:4" x14ac:dyDescent="0.35">
      <c r="A92" s="1" t="s">
        <v>775</v>
      </c>
      <c r="B92" t="s">
        <v>776</v>
      </c>
      <c r="C92" t="s">
        <v>777</v>
      </c>
      <c r="D92" t="s">
        <v>583</v>
      </c>
    </row>
    <row r="93" spans="1:4" x14ac:dyDescent="0.35">
      <c r="A93" s="1" t="s">
        <v>778</v>
      </c>
      <c r="B93" t="s">
        <v>779</v>
      </c>
      <c r="C93" t="s">
        <v>590</v>
      </c>
      <c r="D93" t="s">
        <v>583</v>
      </c>
    </row>
    <row r="94" spans="1:4" x14ac:dyDescent="0.35">
      <c r="A94" s="1" t="s">
        <v>780</v>
      </c>
      <c r="B94" t="s">
        <v>781</v>
      </c>
      <c r="C94" t="s">
        <v>590</v>
      </c>
      <c r="D94" t="s">
        <v>583</v>
      </c>
    </row>
    <row r="95" spans="1:4" x14ac:dyDescent="0.35">
      <c r="A95" s="1" t="s">
        <v>782</v>
      </c>
      <c r="B95" t="s">
        <v>783</v>
      </c>
      <c r="C95" t="s">
        <v>598</v>
      </c>
      <c r="D95" t="s">
        <v>583</v>
      </c>
    </row>
    <row r="96" spans="1:4" x14ac:dyDescent="0.35">
      <c r="A96" s="1" t="s">
        <v>784</v>
      </c>
      <c r="B96" t="s">
        <v>785</v>
      </c>
      <c r="C96" t="s">
        <v>602</v>
      </c>
      <c r="D96" t="s">
        <v>583</v>
      </c>
    </row>
    <row r="97" spans="1:4" x14ac:dyDescent="0.35">
      <c r="A97" s="1" t="s">
        <v>786</v>
      </c>
      <c r="B97" t="s">
        <v>787</v>
      </c>
      <c r="C97" t="s">
        <v>602</v>
      </c>
      <c r="D97" t="s">
        <v>583</v>
      </c>
    </row>
    <row r="98" spans="1:4" x14ac:dyDescent="0.35">
      <c r="A98" s="1" t="s">
        <v>788</v>
      </c>
      <c r="B98" t="s">
        <v>789</v>
      </c>
      <c r="C98" t="s">
        <v>602</v>
      </c>
      <c r="D98" t="s">
        <v>583</v>
      </c>
    </row>
    <row r="99" spans="1:4" x14ac:dyDescent="0.35">
      <c r="A99" s="1" t="s">
        <v>790</v>
      </c>
      <c r="B99" t="s">
        <v>791</v>
      </c>
      <c r="C99" t="s">
        <v>602</v>
      </c>
      <c r="D99" t="s">
        <v>583</v>
      </c>
    </row>
    <row r="100" spans="1:4" x14ac:dyDescent="0.35">
      <c r="A100" s="1" t="s">
        <v>792</v>
      </c>
      <c r="B100" t="s">
        <v>793</v>
      </c>
      <c r="C100" t="s">
        <v>598</v>
      </c>
      <c r="D100" t="s">
        <v>583</v>
      </c>
    </row>
    <row r="101" spans="1:4" x14ac:dyDescent="0.35">
      <c r="A101" s="1" t="s">
        <v>794</v>
      </c>
      <c r="B101" t="s">
        <v>795</v>
      </c>
      <c r="C101" t="s">
        <v>602</v>
      </c>
      <c r="D101" t="s">
        <v>583</v>
      </c>
    </row>
    <row r="102" spans="1:4" x14ac:dyDescent="0.35">
      <c r="A102" s="1" t="s">
        <v>796</v>
      </c>
      <c r="B102" t="s">
        <v>797</v>
      </c>
      <c r="C102" t="s">
        <v>602</v>
      </c>
      <c r="D102" t="s">
        <v>583</v>
      </c>
    </row>
    <row r="103" spans="1:4" x14ac:dyDescent="0.35">
      <c r="A103" s="1" t="s">
        <v>798</v>
      </c>
      <c r="B103" t="s">
        <v>799</v>
      </c>
      <c r="C103" t="s">
        <v>602</v>
      </c>
      <c r="D103" t="s">
        <v>583</v>
      </c>
    </row>
    <row r="104" spans="1:4" x14ac:dyDescent="0.35">
      <c r="A104" s="1" t="s">
        <v>800</v>
      </c>
      <c r="B104" t="s">
        <v>801</v>
      </c>
      <c r="C104" t="s">
        <v>602</v>
      </c>
      <c r="D104" t="s">
        <v>583</v>
      </c>
    </row>
    <row r="105" spans="1:4" x14ac:dyDescent="0.35">
      <c r="A105" s="1" t="s">
        <v>802</v>
      </c>
      <c r="B105" t="s">
        <v>803</v>
      </c>
      <c r="C105" t="s">
        <v>598</v>
      </c>
      <c r="D105" t="s">
        <v>583</v>
      </c>
    </row>
    <row r="106" spans="1:4" x14ac:dyDescent="0.35">
      <c r="A106" s="1" t="s">
        <v>804</v>
      </c>
      <c r="B106" t="s">
        <v>805</v>
      </c>
      <c r="C106" t="s">
        <v>602</v>
      </c>
      <c r="D106" t="s">
        <v>583</v>
      </c>
    </row>
    <row r="107" spans="1:4" x14ac:dyDescent="0.35">
      <c r="A107" s="1" t="s">
        <v>806</v>
      </c>
      <c r="B107" t="s">
        <v>807</v>
      </c>
      <c r="C107" t="s">
        <v>602</v>
      </c>
      <c r="D107" t="s">
        <v>583</v>
      </c>
    </row>
    <row r="108" spans="1:4" x14ac:dyDescent="0.35">
      <c r="A108" s="1" t="s">
        <v>808</v>
      </c>
      <c r="B108" t="s">
        <v>809</v>
      </c>
      <c r="C108" t="s">
        <v>602</v>
      </c>
      <c r="D108" t="s">
        <v>583</v>
      </c>
    </row>
    <row r="109" spans="1:4" x14ac:dyDescent="0.35">
      <c r="A109" s="1" t="s">
        <v>810</v>
      </c>
      <c r="B109" t="s">
        <v>811</v>
      </c>
      <c r="C109" t="s">
        <v>602</v>
      </c>
      <c r="D109" t="s">
        <v>583</v>
      </c>
    </row>
    <row r="110" spans="1:4" x14ac:dyDescent="0.35">
      <c r="A110" s="1" t="s">
        <v>812</v>
      </c>
      <c r="B110" t="s">
        <v>813</v>
      </c>
      <c r="C110" t="s">
        <v>606</v>
      </c>
      <c r="D110" t="s">
        <v>583</v>
      </c>
    </row>
    <row r="111" spans="1:4" x14ac:dyDescent="0.35">
      <c r="A111" s="1" t="s">
        <v>814</v>
      </c>
      <c r="B111" t="s">
        <v>815</v>
      </c>
      <c r="C111" t="s">
        <v>606</v>
      </c>
      <c r="D111" t="s">
        <v>583</v>
      </c>
    </row>
    <row r="112" spans="1:4" x14ac:dyDescent="0.35">
      <c r="A112" s="1" t="s">
        <v>816</v>
      </c>
      <c r="B112" t="s">
        <v>817</v>
      </c>
      <c r="C112" t="s">
        <v>606</v>
      </c>
      <c r="D112" t="s">
        <v>583</v>
      </c>
    </row>
    <row r="113" spans="1:4" x14ac:dyDescent="0.35">
      <c r="A113" s="1" t="s">
        <v>818</v>
      </c>
      <c r="B113" t="s">
        <v>819</v>
      </c>
      <c r="C113" t="s">
        <v>606</v>
      </c>
      <c r="D113" t="s">
        <v>583</v>
      </c>
    </row>
    <row r="114" spans="1:4" x14ac:dyDescent="0.35">
      <c r="A114" s="1" t="s">
        <v>820</v>
      </c>
      <c r="B114" t="s">
        <v>821</v>
      </c>
      <c r="C114" t="s">
        <v>582</v>
      </c>
      <c r="D114" t="s">
        <v>822</v>
      </c>
    </row>
    <row r="115" spans="1:4" x14ac:dyDescent="0.35">
      <c r="A115" s="1" t="s">
        <v>823</v>
      </c>
      <c r="B115" t="s">
        <v>824</v>
      </c>
      <c r="C115" t="s">
        <v>582</v>
      </c>
      <c r="D115" t="s">
        <v>822</v>
      </c>
    </row>
    <row r="116" spans="1:4" x14ac:dyDescent="0.35">
      <c r="A116" s="1" t="s">
        <v>825</v>
      </c>
      <c r="B116" t="s">
        <v>826</v>
      </c>
      <c r="C116" t="s">
        <v>582</v>
      </c>
      <c r="D116" t="s">
        <v>822</v>
      </c>
    </row>
    <row r="117" spans="1:4" x14ac:dyDescent="0.35">
      <c r="A117" s="1" t="s">
        <v>827</v>
      </c>
      <c r="B117" t="s">
        <v>828</v>
      </c>
      <c r="C117" t="s">
        <v>582</v>
      </c>
      <c r="D117" t="s">
        <v>822</v>
      </c>
    </row>
    <row r="118" spans="1:4" x14ac:dyDescent="0.35">
      <c r="A118" s="1" t="s">
        <v>829</v>
      </c>
      <c r="B118" t="s">
        <v>830</v>
      </c>
      <c r="C118" t="s">
        <v>582</v>
      </c>
      <c r="D118" t="s">
        <v>822</v>
      </c>
    </row>
    <row r="119" spans="1:4" x14ac:dyDescent="0.35">
      <c r="A119" s="1" t="s">
        <v>831</v>
      </c>
      <c r="B119" t="s">
        <v>832</v>
      </c>
      <c r="C119" t="s">
        <v>582</v>
      </c>
      <c r="D119" t="s">
        <v>822</v>
      </c>
    </row>
    <row r="120" spans="1:4" x14ac:dyDescent="0.35">
      <c r="A120" s="1" t="s">
        <v>833</v>
      </c>
      <c r="B120" t="s">
        <v>834</v>
      </c>
      <c r="C120" t="s">
        <v>582</v>
      </c>
      <c r="D120" t="s">
        <v>822</v>
      </c>
    </row>
    <row r="121" spans="1:4" x14ac:dyDescent="0.35">
      <c r="A121" s="1" t="s">
        <v>835</v>
      </c>
      <c r="B121" t="s">
        <v>836</v>
      </c>
      <c r="C121" t="s">
        <v>582</v>
      </c>
      <c r="D121" t="s">
        <v>822</v>
      </c>
    </row>
    <row r="122" spans="1:4" x14ac:dyDescent="0.35">
      <c r="A122" s="1" t="s">
        <v>837</v>
      </c>
      <c r="B122" t="s">
        <v>838</v>
      </c>
      <c r="C122" t="s">
        <v>18</v>
      </c>
      <c r="D122" t="s">
        <v>822</v>
      </c>
    </row>
    <row r="123" spans="1:4" x14ac:dyDescent="0.35">
      <c r="A123" s="1" t="s">
        <v>839</v>
      </c>
      <c r="B123" t="s">
        <v>840</v>
      </c>
      <c r="C123" t="s">
        <v>18</v>
      </c>
      <c r="D123" t="s">
        <v>822</v>
      </c>
    </row>
    <row r="124" spans="1:4" x14ac:dyDescent="0.35">
      <c r="A124" s="1" t="s">
        <v>841</v>
      </c>
      <c r="B124" t="s">
        <v>842</v>
      </c>
      <c r="C124" t="s">
        <v>18</v>
      </c>
      <c r="D124" t="s">
        <v>822</v>
      </c>
    </row>
    <row r="125" spans="1:4" x14ac:dyDescent="0.35">
      <c r="A125" s="1" t="s">
        <v>843</v>
      </c>
      <c r="B125" t="s">
        <v>844</v>
      </c>
      <c r="C125" t="s">
        <v>18</v>
      </c>
      <c r="D125" t="s">
        <v>822</v>
      </c>
    </row>
    <row r="126" spans="1:4" x14ac:dyDescent="0.35">
      <c r="A126" s="1" t="s">
        <v>845</v>
      </c>
      <c r="B126" t="s">
        <v>846</v>
      </c>
      <c r="C126" t="s">
        <v>18</v>
      </c>
      <c r="D126" t="s">
        <v>822</v>
      </c>
    </row>
    <row r="127" spans="1:4" x14ac:dyDescent="0.35">
      <c r="A127" s="1" t="s">
        <v>847</v>
      </c>
      <c r="B127" t="s">
        <v>848</v>
      </c>
      <c r="C127" t="s">
        <v>18</v>
      </c>
      <c r="D127" t="s">
        <v>822</v>
      </c>
    </row>
    <row r="128" spans="1:4" x14ac:dyDescent="0.35">
      <c r="A128" s="1" t="s">
        <v>849</v>
      </c>
      <c r="B128" t="s">
        <v>850</v>
      </c>
      <c r="C128" t="s">
        <v>18</v>
      </c>
      <c r="D128" t="s">
        <v>822</v>
      </c>
    </row>
    <row r="129" spans="1:4" x14ac:dyDescent="0.35">
      <c r="A129" s="1" t="s">
        <v>851</v>
      </c>
      <c r="B129" t="s">
        <v>852</v>
      </c>
      <c r="C129" t="s">
        <v>590</v>
      </c>
      <c r="D129" t="s">
        <v>822</v>
      </c>
    </row>
    <row r="130" spans="1:4" x14ac:dyDescent="0.35">
      <c r="A130" s="1" t="s">
        <v>853</v>
      </c>
      <c r="B130" t="s">
        <v>854</v>
      </c>
      <c r="C130" t="s">
        <v>594</v>
      </c>
      <c r="D130" t="s">
        <v>822</v>
      </c>
    </row>
    <row r="131" spans="1:4" x14ac:dyDescent="0.35">
      <c r="A131" s="1" t="s">
        <v>855</v>
      </c>
      <c r="B131" t="s">
        <v>856</v>
      </c>
      <c r="C131" t="s">
        <v>594</v>
      </c>
      <c r="D131" t="s">
        <v>822</v>
      </c>
    </row>
    <row r="132" spans="1:4" x14ac:dyDescent="0.35">
      <c r="A132" s="1" t="s">
        <v>857</v>
      </c>
      <c r="B132" t="s">
        <v>858</v>
      </c>
      <c r="C132" t="s">
        <v>594</v>
      </c>
      <c r="D132" t="s">
        <v>822</v>
      </c>
    </row>
    <row r="133" spans="1:4" x14ac:dyDescent="0.35">
      <c r="A133" s="1" t="s">
        <v>859</v>
      </c>
      <c r="B133" t="s">
        <v>860</v>
      </c>
      <c r="C133" t="s">
        <v>594</v>
      </c>
      <c r="D133" t="s">
        <v>822</v>
      </c>
    </row>
    <row r="134" spans="1:4" x14ac:dyDescent="0.35">
      <c r="A134" s="1" t="s">
        <v>861</v>
      </c>
      <c r="B134" t="s">
        <v>862</v>
      </c>
      <c r="C134" t="s">
        <v>590</v>
      </c>
      <c r="D134" t="s">
        <v>822</v>
      </c>
    </row>
    <row r="135" spans="1:4" x14ac:dyDescent="0.35">
      <c r="A135" s="1" t="s">
        <v>863</v>
      </c>
      <c r="B135" t="s">
        <v>864</v>
      </c>
      <c r="C135" t="s">
        <v>594</v>
      </c>
      <c r="D135" t="s">
        <v>822</v>
      </c>
    </row>
    <row r="136" spans="1:4" x14ac:dyDescent="0.35">
      <c r="A136" s="1" t="s">
        <v>865</v>
      </c>
      <c r="B136" t="s">
        <v>866</v>
      </c>
      <c r="C136" t="s">
        <v>594</v>
      </c>
      <c r="D136" t="s">
        <v>822</v>
      </c>
    </row>
    <row r="137" spans="1:4" x14ac:dyDescent="0.35">
      <c r="A137" s="1" t="s">
        <v>867</v>
      </c>
      <c r="B137" t="s">
        <v>868</v>
      </c>
      <c r="C137" t="s">
        <v>594</v>
      </c>
      <c r="D137" t="s">
        <v>822</v>
      </c>
    </row>
    <row r="138" spans="1:4" x14ac:dyDescent="0.35">
      <c r="A138" s="1" t="s">
        <v>869</v>
      </c>
      <c r="B138" t="s">
        <v>870</v>
      </c>
      <c r="C138" t="s">
        <v>594</v>
      </c>
      <c r="D138" t="s">
        <v>822</v>
      </c>
    </row>
    <row r="139" spans="1:4" x14ac:dyDescent="0.35">
      <c r="A139" s="1" t="s">
        <v>871</v>
      </c>
      <c r="B139" t="s">
        <v>872</v>
      </c>
      <c r="C139" t="s">
        <v>590</v>
      </c>
      <c r="D139" t="s">
        <v>822</v>
      </c>
    </row>
    <row r="140" spans="1:4" x14ac:dyDescent="0.35">
      <c r="A140" s="1" t="s">
        <v>873</v>
      </c>
      <c r="B140" t="s">
        <v>874</v>
      </c>
      <c r="C140" t="s">
        <v>594</v>
      </c>
      <c r="D140" t="s">
        <v>822</v>
      </c>
    </row>
    <row r="141" spans="1:4" x14ac:dyDescent="0.35">
      <c r="A141" s="1" t="s">
        <v>875</v>
      </c>
      <c r="B141" t="s">
        <v>876</v>
      </c>
      <c r="C141" t="s">
        <v>594</v>
      </c>
      <c r="D141" t="s">
        <v>822</v>
      </c>
    </row>
    <row r="142" spans="1:4" x14ac:dyDescent="0.35">
      <c r="A142" s="1" t="s">
        <v>877</v>
      </c>
      <c r="B142" t="s">
        <v>878</v>
      </c>
      <c r="C142" t="s">
        <v>594</v>
      </c>
      <c r="D142" t="s">
        <v>822</v>
      </c>
    </row>
    <row r="143" spans="1:4" x14ac:dyDescent="0.35">
      <c r="A143" s="1" t="s">
        <v>879</v>
      </c>
      <c r="B143" t="s">
        <v>880</v>
      </c>
      <c r="C143" t="s">
        <v>594</v>
      </c>
      <c r="D143" t="s">
        <v>822</v>
      </c>
    </row>
    <row r="144" spans="1:4" x14ac:dyDescent="0.35">
      <c r="A144" s="1" t="s">
        <v>881</v>
      </c>
      <c r="B144" t="s">
        <v>882</v>
      </c>
      <c r="C144" t="s">
        <v>590</v>
      </c>
      <c r="D144" t="s">
        <v>822</v>
      </c>
    </row>
    <row r="145" spans="1:4" x14ac:dyDescent="0.35">
      <c r="A145" s="1" t="s">
        <v>883</v>
      </c>
      <c r="B145" t="s">
        <v>884</v>
      </c>
      <c r="C145" t="s">
        <v>590</v>
      </c>
      <c r="D145" t="s">
        <v>822</v>
      </c>
    </row>
    <row r="146" spans="1:4" x14ac:dyDescent="0.35">
      <c r="A146" s="1" t="s">
        <v>885</v>
      </c>
      <c r="B146" t="s">
        <v>886</v>
      </c>
      <c r="C146" t="s">
        <v>590</v>
      </c>
      <c r="D146" t="s">
        <v>822</v>
      </c>
    </row>
    <row r="147" spans="1:4" x14ac:dyDescent="0.35">
      <c r="A147" s="1" t="s">
        <v>887</v>
      </c>
      <c r="B147" t="s">
        <v>888</v>
      </c>
      <c r="C147" t="s">
        <v>590</v>
      </c>
      <c r="D147" t="s">
        <v>822</v>
      </c>
    </row>
    <row r="148" spans="1:4" x14ac:dyDescent="0.35">
      <c r="A148" s="1" t="s">
        <v>889</v>
      </c>
      <c r="B148" t="s">
        <v>890</v>
      </c>
      <c r="C148" t="s">
        <v>590</v>
      </c>
      <c r="D148" t="s">
        <v>822</v>
      </c>
    </row>
    <row r="149" spans="1:4" x14ac:dyDescent="0.35">
      <c r="A149" s="1" t="s">
        <v>891</v>
      </c>
      <c r="B149" t="s">
        <v>892</v>
      </c>
      <c r="C149" t="s">
        <v>590</v>
      </c>
      <c r="D149" t="s">
        <v>822</v>
      </c>
    </row>
    <row r="150" spans="1:4" x14ac:dyDescent="0.35">
      <c r="A150" s="1" t="s">
        <v>893</v>
      </c>
      <c r="B150" t="s">
        <v>894</v>
      </c>
      <c r="C150" t="s">
        <v>590</v>
      </c>
      <c r="D150" t="s">
        <v>822</v>
      </c>
    </row>
    <row r="151" spans="1:4" x14ac:dyDescent="0.35">
      <c r="A151" s="1" t="s">
        <v>895</v>
      </c>
      <c r="B151" t="s">
        <v>896</v>
      </c>
      <c r="C151" t="s">
        <v>590</v>
      </c>
      <c r="D151" t="s">
        <v>822</v>
      </c>
    </row>
    <row r="152" spans="1:4" x14ac:dyDescent="0.35">
      <c r="A152" s="1" t="s">
        <v>897</v>
      </c>
      <c r="B152" t="s">
        <v>898</v>
      </c>
      <c r="C152" t="s">
        <v>590</v>
      </c>
      <c r="D152" t="s">
        <v>822</v>
      </c>
    </row>
    <row r="153" spans="1:4" x14ac:dyDescent="0.35">
      <c r="A153" s="1" t="s">
        <v>899</v>
      </c>
      <c r="B153" t="s">
        <v>900</v>
      </c>
      <c r="C153" t="s">
        <v>590</v>
      </c>
      <c r="D153" t="s">
        <v>822</v>
      </c>
    </row>
    <row r="154" spans="1:4" x14ac:dyDescent="0.35">
      <c r="A154" s="1" t="s">
        <v>901</v>
      </c>
      <c r="B154" t="s">
        <v>902</v>
      </c>
      <c r="C154" t="s">
        <v>590</v>
      </c>
      <c r="D154" t="s">
        <v>822</v>
      </c>
    </row>
    <row r="155" spans="1:4" x14ac:dyDescent="0.35">
      <c r="A155" s="1" t="s">
        <v>903</v>
      </c>
      <c r="B155" t="s">
        <v>904</v>
      </c>
      <c r="C155" t="s">
        <v>590</v>
      </c>
      <c r="D155" t="s">
        <v>822</v>
      </c>
    </row>
    <row r="156" spans="1:4" x14ac:dyDescent="0.35">
      <c r="A156" s="1" t="s">
        <v>905</v>
      </c>
      <c r="B156" t="s">
        <v>906</v>
      </c>
      <c r="C156" t="s">
        <v>590</v>
      </c>
      <c r="D156" t="s">
        <v>822</v>
      </c>
    </row>
    <row r="157" spans="1:4" x14ac:dyDescent="0.35">
      <c r="A157" s="1" t="s">
        <v>907</v>
      </c>
      <c r="B157" t="s">
        <v>908</v>
      </c>
      <c r="C157" t="s">
        <v>590</v>
      </c>
      <c r="D157" t="s">
        <v>822</v>
      </c>
    </row>
    <row r="158" spans="1:4" x14ac:dyDescent="0.35">
      <c r="A158" s="1" t="s">
        <v>909</v>
      </c>
      <c r="B158" t="s">
        <v>910</v>
      </c>
      <c r="C158" t="s">
        <v>594</v>
      </c>
      <c r="D158" t="s">
        <v>822</v>
      </c>
    </row>
    <row r="159" spans="1:4" x14ac:dyDescent="0.35">
      <c r="A159" s="1" t="s">
        <v>911</v>
      </c>
      <c r="B159" t="s">
        <v>912</v>
      </c>
      <c r="C159" t="s">
        <v>594</v>
      </c>
      <c r="D159" t="s">
        <v>822</v>
      </c>
    </row>
    <row r="160" spans="1:4" x14ac:dyDescent="0.35">
      <c r="A160" s="1" t="s">
        <v>913</v>
      </c>
      <c r="B160" t="s">
        <v>914</v>
      </c>
      <c r="C160" t="s">
        <v>590</v>
      </c>
      <c r="D160" t="s">
        <v>822</v>
      </c>
    </row>
    <row r="161" spans="1:4" x14ac:dyDescent="0.35">
      <c r="A161" s="1" t="s">
        <v>915</v>
      </c>
      <c r="B161" t="s">
        <v>916</v>
      </c>
      <c r="C161" t="s">
        <v>590</v>
      </c>
      <c r="D161" t="s">
        <v>822</v>
      </c>
    </row>
    <row r="162" spans="1:4" x14ac:dyDescent="0.35">
      <c r="A162" s="1" t="s">
        <v>917</v>
      </c>
      <c r="B162" t="s">
        <v>918</v>
      </c>
      <c r="C162" t="s">
        <v>590</v>
      </c>
      <c r="D162" t="s">
        <v>822</v>
      </c>
    </row>
    <row r="163" spans="1:4" x14ac:dyDescent="0.35">
      <c r="A163" s="1" t="s">
        <v>919</v>
      </c>
      <c r="B163" t="s">
        <v>920</v>
      </c>
      <c r="C163" t="s">
        <v>590</v>
      </c>
      <c r="D163" t="s">
        <v>822</v>
      </c>
    </row>
    <row r="164" spans="1:4" x14ac:dyDescent="0.35">
      <c r="A164" s="1" t="s">
        <v>921</v>
      </c>
      <c r="B164" t="s">
        <v>922</v>
      </c>
      <c r="C164" t="s">
        <v>594</v>
      </c>
      <c r="D164" t="s">
        <v>822</v>
      </c>
    </row>
    <row r="165" spans="1:4" x14ac:dyDescent="0.35">
      <c r="A165" s="1" t="s">
        <v>923</v>
      </c>
      <c r="B165" t="s">
        <v>924</v>
      </c>
      <c r="C165" t="s">
        <v>594</v>
      </c>
      <c r="D165" t="s">
        <v>822</v>
      </c>
    </row>
    <row r="166" spans="1:4" x14ac:dyDescent="0.35">
      <c r="A166" s="1" t="s">
        <v>925</v>
      </c>
      <c r="B166" t="s">
        <v>926</v>
      </c>
      <c r="C166" t="s">
        <v>594</v>
      </c>
      <c r="D166" t="s">
        <v>822</v>
      </c>
    </row>
    <row r="167" spans="1:4" x14ac:dyDescent="0.35">
      <c r="A167" s="1" t="s">
        <v>927</v>
      </c>
      <c r="B167" t="s">
        <v>928</v>
      </c>
      <c r="C167" t="s">
        <v>594</v>
      </c>
      <c r="D167" t="s">
        <v>822</v>
      </c>
    </row>
    <row r="168" spans="1:4" x14ac:dyDescent="0.35">
      <c r="A168" s="1" t="s">
        <v>929</v>
      </c>
      <c r="B168" t="s">
        <v>930</v>
      </c>
      <c r="C168" t="s">
        <v>594</v>
      </c>
      <c r="D168" t="s">
        <v>822</v>
      </c>
    </row>
    <row r="169" spans="1:4" x14ac:dyDescent="0.35">
      <c r="A169" s="1" t="s">
        <v>931</v>
      </c>
      <c r="B169" t="s">
        <v>932</v>
      </c>
      <c r="C169" t="s">
        <v>598</v>
      </c>
      <c r="D169" t="s">
        <v>822</v>
      </c>
    </row>
    <row r="170" spans="1:4" x14ac:dyDescent="0.35">
      <c r="A170" s="1" t="s">
        <v>933</v>
      </c>
      <c r="B170" t="s">
        <v>934</v>
      </c>
      <c r="C170" t="s">
        <v>602</v>
      </c>
      <c r="D170" t="s">
        <v>822</v>
      </c>
    </row>
    <row r="171" spans="1:4" x14ac:dyDescent="0.35">
      <c r="A171" s="1" t="s">
        <v>935</v>
      </c>
      <c r="B171" t="s">
        <v>936</v>
      </c>
      <c r="C171" t="s">
        <v>602</v>
      </c>
      <c r="D171" t="s">
        <v>822</v>
      </c>
    </row>
    <row r="172" spans="1:4" x14ac:dyDescent="0.35">
      <c r="A172" s="1" t="s">
        <v>937</v>
      </c>
      <c r="B172" t="s">
        <v>938</v>
      </c>
      <c r="C172" t="s">
        <v>602</v>
      </c>
      <c r="D172" t="s">
        <v>822</v>
      </c>
    </row>
    <row r="173" spans="1:4" x14ac:dyDescent="0.35">
      <c r="A173" s="1" t="s">
        <v>939</v>
      </c>
      <c r="B173" t="s">
        <v>940</v>
      </c>
      <c r="C173" t="s">
        <v>602</v>
      </c>
      <c r="D173" t="s">
        <v>822</v>
      </c>
    </row>
    <row r="174" spans="1:4" x14ac:dyDescent="0.35">
      <c r="A174" s="1" t="s">
        <v>941</v>
      </c>
      <c r="B174" t="s">
        <v>942</v>
      </c>
      <c r="C174" t="s">
        <v>606</v>
      </c>
      <c r="D174" t="s">
        <v>822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/>
  <dimension ref="A1:C44"/>
  <sheetViews>
    <sheetView workbookViewId="0">
      <selection activeCell="C44" sqref="C44"/>
    </sheetView>
  </sheetViews>
  <sheetFormatPr defaultRowHeight="14.5" x14ac:dyDescent="0.35"/>
  <cols>
    <col min="1" max="1" width="9.26953125" customWidth="1"/>
    <col min="2" max="2" width="43.54296875" bestFit="1" customWidth="1"/>
    <col min="3" max="3" width="14" customWidth="1"/>
  </cols>
  <sheetData>
    <row r="1" spans="1:3" x14ac:dyDescent="0.35">
      <c r="A1" t="s">
        <v>21</v>
      </c>
      <c r="B1" t="s">
        <v>52</v>
      </c>
      <c r="C1" t="s">
        <v>53</v>
      </c>
    </row>
    <row r="2" spans="1:3" x14ac:dyDescent="0.35">
      <c r="A2">
        <v>1</v>
      </c>
      <c r="B2" t="s">
        <v>23</v>
      </c>
      <c r="C2" t="s">
        <v>54</v>
      </c>
    </row>
    <row r="3" spans="1:3" x14ac:dyDescent="0.35">
      <c r="A3">
        <v>4</v>
      </c>
      <c r="B3" t="s">
        <v>24</v>
      </c>
      <c r="C3" t="s">
        <v>60</v>
      </c>
    </row>
    <row r="4" spans="1:3" x14ac:dyDescent="0.35">
      <c r="A4">
        <v>9</v>
      </c>
      <c r="B4" t="s">
        <v>25</v>
      </c>
      <c r="C4" t="s">
        <v>55</v>
      </c>
    </row>
    <row r="5" spans="1:3" x14ac:dyDescent="0.35">
      <c r="A5">
        <v>10</v>
      </c>
      <c r="B5" t="s">
        <v>26</v>
      </c>
      <c r="C5" t="s">
        <v>60</v>
      </c>
    </row>
    <row r="6" spans="1:3" x14ac:dyDescent="0.35">
      <c r="A6">
        <v>11</v>
      </c>
      <c r="B6" t="s">
        <v>27</v>
      </c>
      <c r="C6" t="s">
        <v>60</v>
      </c>
    </row>
    <row r="7" spans="1:3" x14ac:dyDescent="0.35">
      <c r="A7">
        <v>13</v>
      </c>
      <c r="B7" t="s">
        <v>28</v>
      </c>
      <c r="C7" t="s">
        <v>60</v>
      </c>
    </row>
    <row r="8" spans="1:3" x14ac:dyDescent="0.35">
      <c r="A8">
        <v>14</v>
      </c>
      <c r="B8" t="s">
        <v>29</v>
      </c>
      <c r="C8" t="s">
        <v>56</v>
      </c>
    </row>
    <row r="9" spans="1:3" x14ac:dyDescent="0.35">
      <c r="A9">
        <v>17</v>
      </c>
      <c r="B9" t="s">
        <v>30</v>
      </c>
      <c r="C9" t="s">
        <v>55</v>
      </c>
    </row>
    <row r="10" spans="1:3" x14ac:dyDescent="0.35">
      <c r="A10">
        <v>18</v>
      </c>
      <c r="B10" t="s">
        <v>31</v>
      </c>
      <c r="C10" t="s">
        <v>54</v>
      </c>
    </row>
    <row r="11" spans="1:3" x14ac:dyDescent="0.35">
      <c r="A11">
        <v>19</v>
      </c>
      <c r="B11" t="s">
        <v>32</v>
      </c>
      <c r="C11" t="s">
        <v>56</v>
      </c>
    </row>
    <row r="12" spans="1:3" x14ac:dyDescent="0.35">
      <c r="A12">
        <v>20</v>
      </c>
      <c r="B12" t="s">
        <v>33</v>
      </c>
      <c r="C12" t="s">
        <v>56</v>
      </c>
    </row>
    <row r="13" spans="1:3" x14ac:dyDescent="0.35">
      <c r="A13">
        <v>21</v>
      </c>
      <c r="B13" t="s">
        <v>282</v>
      </c>
      <c r="C13" t="s">
        <v>54</v>
      </c>
    </row>
    <row r="14" spans="1:3" x14ac:dyDescent="0.35">
      <c r="A14">
        <v>24</v>
      </c>
      <c r="B14" t="s">
        <v>283</v>
      </c>
      <c r="C14" t="s">
        <v>60</v>
      </c>
    </row>
    <row r="15" spans="1:3" x14ac:dyDescent="0.35">
      <c r="A15">
        <v>25</v>
      </c>
      <c r="B15" t="s">
        <v>943</v>
      </c>
      <c r="C15" t="s">
        <v>59</v>
      </c>
    </row>
    <row r="16" spans="1:3" x14ac:dyDescent="0.35">
      <c r="A16">
        <v>413</v>
      </c>
      <c r="B16" t="s">
        <v>34</v>
      </c>
      <c r="C16" t="s">
        <v>61</v>
      </c>
    </row>
    <row r="17" spans="1:3" x14ac:dyDescent="0.35">
      <c r="A17">
        <v>500</v>
      </c>
      <c r="B17" t="s">
        <v>35</v>
      </c>
      <c r="C17" t="s">
        <v>57</v>
      </c>
    </row>
    <row r="18" spans="1:3" x14ac:dyDescent="0.35">
      <c r="A18">
        <v>501</v>
      </c>
      <c r="B18" t="s">
        <v>36</v>
      </c>
      <c r="C18" t="s">
        <v>57</v>
      </c>
    </row>
    <row r="19" spans="1:3" x14ac:dyDescent="0.35">
      <c r="A19">
        <v>651</v>
      </c>
      <c r="B19" t="s">
        <v>37</v>
      </c>
      <c r="C19" t="s">
        <v>60</v>
      </c>
    </row>
    <row r="20" spans="1:3" x14ac:dyDescent="0.35">
      <c r="A20">
        <v>652</v>
      </c>
      <c r="B20" t="s">
        <v>38</v>
      </c>
      <c r="C20" t="s">
        <v>60</v>
      </c>
    </row>
    <row r="21" spans="1:3" x14ac:dyDescent="0.35">
      <c r="A21">
        <v>701</v>
      </c>
      <c r="B21" t="s">
        <v>39</v>
      </c>
      <c r="C21" t="s">
        <v>62</v>
      </c>
    </row>
    <row r="22" spans="1:3" x14ac:dyDescent="0.35">
      <c r="A22">
        <v>801</v>
      </c>
      <c r="B22" t="s">
        <v>40</v>
      </c>
      <c r="C22" t="s">
        <v>54</v>
      </c>
    </row>
    <row r="23" spans="1:3" x14ac:dyDescent="0.35">
      <c r="A23">
        <v>802</v>
      </c>
      <c r="B23" t="s">
        <v>41</v>
      </c>
      <c r="C23" t="s">
        <v>54</v>
      </c>
    </row>
    <row r="24" spans="1:3" x14ac:dyDescent="0.35">
      <c r="A24">
        <v>811</v>
      </c>
      <c r="B24" t="s">
        <v>42</v>
      </c>
      <c r="C24" t="s">
        <v>58</v>
      </c>
    </row>
    <row r="25" spans="1:3" x14ac:dyDescent="0.35">
      <c r="A25">
        <v>812</v>
      </c>
      <c r="B25" t="s">
        <v>43</v>
      </c>
      <c r="C25" t="s">
        <v>60</v>
      </c>
    </row>
    <row r="26" spans="1:3" x14ac:dyDescent="0.35">
      <c r="A26">
        <v>904</v>
      </c>
      <c r="B26" t="s">
        <v>44</v>
      </c>
      <c r="C26" t="s">
        <v>60</v>
      </c>
    </row>
    <row r="27" spans="1:3" x14ac:dyDescent="0.35">
      <c r="A27">
        <v>908</v>
      </c>
      <c r="B27" t="s">
        <v>45</v>
      </c>
      <c r="C27" t="s">
        <v>60</v>
      </c>
    </row>
    <row r="28" spans="1:3" x14ac:dyDescent="0.35">
      <c r="A28">
        <v>910</v>
      </c>
      <c r="B28" t="s">
        <v>46</v>
      </c>
      <c r="C28" t="s">
        <v>63</v>
      </c>
    </row>
    <row r="29" spans="1:3" x14ac:dyDescent="0.35">
      <c r="A29">
        <v>912</v>
      </c>
      <c r="B29" t="s">
        <v>47</v>
      </c>
      <c r="C29" t="s">
        <v>60</v>
      </c>
    </row>
    <row r="30" spans="1:3" x14ac:dyDescent="0.35">
      <c r="A30">
        <v>913</v>
      </c>
      <c r="B30" t="s">
        <v>284</v>
      </c>
      <c r="C30" t="s">
        <v>60</v>
      </c>
    </row>
    <row r="31" spans="1:3" x14ac:dyDescent="0.35">
      <c r="A31">
        <v>914</v>
      </c>
      <c r="B31" t="s">
        <v>285</v>
      </c>
      <c r="C31" t="s">
        <v>60</v>
      </c>
    </row>
    <row r="32" spans="1:3" x14ac:dyDescent="0.35">
      <c r="A32">
        <v>915</v>
      </c>
      <c r="B32" t="s">
        <v>48</v>
      </c>
      <c r="C32" t="s">
        <v>60</v>
      </c>
    </row>
    <row r="33" spans="1:3" x14ac:dyDescent="0.35">
      <c r="A33">
        <v>919</v>
      </c>
      <c r="B33" t="s">
        <v>286</v>
      </c>
      <c r="C33" t="s">
        <v>60</v>
      </c>
    </row>
    <row r="34" spans="1:3" x14ac:dyDescent="0.35">
      <c r="A34">
        <v>922</v>
      </c>
      <c r="B34" t="s">
        <v>287</v>
      </c>
      <c r="C34" t="s">
        <v>60</v>
      </c>
    </row>
    <row r="35" spans="1:3" x14ac:dyDescent="0.35">
      <c r="A35">
        <v>928</v>
      </c>
      <c r="B35" t="s">
        <v>49</v>
      </c>
      <c r="C35" t="s">
        <v>13</v>
      </c>
    </row>
    <row r="36" spans="1:3" x14ac:dyDescent="0.35">
      <c r="A36">
        <v>990</v>
      </c>
      <c r="B36" t="s">
        <v>288</v>
      </c>
      <c r="C36" t="s">
        <v>60</v>
      </c>
    </row>
    <row r="37" spans="1:3" x14ac:dyDescent="0.35">
      <c r="A37">
        <v>997</v>
      </c>
      <c r="B37" t="s">
        <v>50</v>
      </c>
      <c r="C37" t="s">
        <v>60</v>
      </c>
    </row>
    <row r="38" spans="1:3" x14ac:dyDescent="0.35">
      <c r="A38">
        <v>999</v>
      </c>
      <c r="B38" t="s">
        <v>51</v>
      </c>
      <c r="C38" t="s">
        <v>59</v>
      </c>
    </row>
    <row r="39" spans="1:3" x14ac:dyDescent="0.35">
      <c r="A39">
        <v>12</v>
      </c>
      <c r="B39" t="s">
        <v>1086</v>
      </c>
      <c r="C39" t="s">
        <v>63</v>
      </c>
    </row>
    <row r="40" spans="1:3" x14ac:dyDescent="0.35">
      <c r="A40">
        <v>813</v>
      </c>
      <c r="B40" t="s">
        <v>1087</v>
      </c>
      <c r="C40" t="s">
        <v>1089</v>
      </c>
    </row>
    <row r="41" spans="1:3" x14ac:dyDescent="0.35">
      <c r="A41">
        <v>816</v>
      </c>
      <c r="B41" t="s">
        <v>1088</v>
      </c>
      <c r="C41" t="s">
        <v>1089</v>
      </c>
    </row>
    <row r="42" spans="1:3" x14ac:dyDescent="0.35">
      <c r="A42">
        <v>921</v>
      </c>
      <c r="B42" t="s">
        <v>1090</v>
      </c>
      <c r="C42" t="s">
        <v>54</v>
      </c>
    </row>
    <row r="43" spans="1:3" x14ac:dyDescent="0.35">
      <c r="A43">
        <v>28</v>
      </c>
      <c r="B43" t="s">
        <v>1105</v>
      </c>
      <c r="C43" t="s">
        <v>59</v>
      </c>
    </row>
    <row r="44" spans="1:3" x14ac:dyDescent="0.35">
      <c r="A44">
        <v>27</v>
      </c>
      <c r="B44" s="42" t="s">
        <v>1108</v>
      </c>
      <c r="C44" s="13" t="s">
        <v>54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O175"/>
  <sheetViews>
    <sheetView topLeftCell="A114" workbookViewId="0">
      <selection activeCell="A175" sqref="A175"/>
    </sheetView>
  </sheetViews>
  <sheetFormatPr defaultRowHeight="14.5" x14ac:dyDescent="0.35"/>
  <cols>
    <col min="1" max="1" width="10.7265625" customWidth="1"/>
    <col min="2" max="2" width="18.7265625" bestFit="1" customWidth="1"/>
    <col min="8" max="8" width="36.54296875" bestFit="1" customWidth="1"/>
    <col min="12" max="12" width="39" bestFit="1" customWidth="1"/>
    <col min="13" max="13" width="3.7265625" customWidth="1"/>
    <col min="14" max="14" width="10.26953125" customWidth="1"/>
    <col min="15" max="15" width="43.54296875" bestFit="1" customWidth="1"/>
  </cols>
  <sheetData>
    <row r="1" spans="1:15" x14ac:dyDescent="0.35">
      <c r="A1" t="s">
        <v>22</v>
      </c>
      <c r="B1" t="s">
        <v>20</v>
      </c>
      <c r="C1" t="s">
        <v>0</v>
      </c>
      <c r="D1" t="s">
        <v>530</v>
      </c>
      <c r="E1" t="s">
        <v>433</v>
      </c>
      <c r="G1" t="s">
        <v>0</v>
      </c>
      <c r="H1" t="s">
        <v>19</v>
      </c>
      <c r="K1" t="s">
        <v>20</v>
      </c>
      <c r="L1" t="s">
        <v>530</v>
      </c>
      <c r="N1" t="s">
        <v>528</v>
      </c>
      <c r="O1" t="s">
        <v>529</v>
      </c>
    </row>
    <row r="2" spans="1:15" x14ac:dyDescent="0.35">
      <c r="A2" t="s">
        <v>275</v>
      </c>
      <c r="B2" s="1" t="s">
        <v>539</v>
      </c>
      <c r="C2">
        <v>36</v>
      </c>
      <c r="D2">
        <v>272</v>
      </c>
      <c r="E2">
        <v>341200</v>
      </c>
      <c r="G2">
        <v>20</v>
      </c>
      <c r="H2" t="s">
        <v>5</v>
      </c>
      <c r="K2" s="6">
        <v>20</v>
      </c>
      <c r="L2" s="6" t="s">
        <v>543</v>
      </c>
      <c r="N2">
        <v>110100</v>
      </c>
      <c r="O2" t="s">
        <v>487</v>
      </c>
    </row>
    <row r="3" spans="1:15" x14ac:dyDescent="0.35">
      <c r="A3" t="s">
        <v>275</v>
      </c>
      <c r="B3" s="1" t="s">
        <v>537</v>
      </c>
      <c r="C3">
        <v>36</v>
      </c>
      <c r="D3">
        <v>270</v>
      </c>
      <c r="E3">
        <v>341200</v>
      </c>
      <c r="G3">
        <v>21</v>
      </c>
      <c r="H3" t="s">
        <v>276</v>
      </c>
      <c r="K3" s="5">
        <v>30</v>
      </c>
      <c r="L3" s="5" t="s">
        <v>425</v>
      </c>
      <c r="N3">
        <v>110200</v>
      </c>
      <c r="O3" t="s">
        <v>488</v>
      </c>
    </row>
    <row r="4" spans="1:15" x14ac:dyDescent="0.35">
      <c r="A4" t="s">
        <v>275</v>
      </c>
      <c r="B4" s="1" t="s">
        <v>538</v>
      </c>
      <c r="C4">
        <v>36</v>
      </c>
      <c r="D4">
        <v>270</v>
      </c>
      <c r="E4">
        <v>341200</v>
      </c>
      <c r="G4">
        <v>22</v>
      </c>
      <c r="H4" t="s">
        <v>2</v>
      </c>
      <c r="K4" s="5">
        <v>60</v>
      </c>
      <c r="L4" s="5" t="s">
        <v>427</v>
      </c>
      <c r="N4">
        <v>110700</v>
      </c>
      <c r="O4" t="s">
        <v>489</v>
      </c>
    </row>
    <row r="5" spans="1:15" x14ac:dyDescent="0.35">
      <c r="A5" t="s">
        <v>275</v>
      </c>
      <c r="B5" t="s">
        <v>294</v>
      </c>
      <c r="C5">
        <v>20</v>
      </c>
      <c r="D5">
        <v>20</v>
      </c>
      <c r="E5">
        <v>305100</v>
      </c>
      <c r="G5">
        <v>23</v>
      </c>
      <c r="H5" t="s">
        <v>277</v>
      </c>
      <c r="K5" s="6">
        <v>132</v>
      </c>
      <c r="L5" s="6" t="s">
        <v>429</v>
      </c>
      <c r="N5">
        <v>120100</v>
      </c>
      <c r="O5" t="s">
        <v>490</v>
      </c>
    </row>
    <row r="6" spans="1:15" x14ac:dyDescent="0.35">
      <c r="A6" t="s">
        <v>275</v>
      </c>
      <c r="B6" t="s">
        <v>295</v>
      </c>
      <c r="C6">
        <v>20</v>
      </c>
      <c r="D6">
        <v>20</v>
      </c>
      <c r="E6">
        <v>305100</v>
      </c>
      <c r="G6">
        <v>24</v>
      </c>
      <c r="H6" t="s">
        <v>9</v>
      </c>
      <c r="K6" s="6">
        <v>140</v>
      </c>
      <c r="L6" s="6" t="s">
        <v>424</v>
      </c>
      <c r="N6">
        <v>120200</v>
      </c>
      <c r="O6" t="s">
        <v>491</v>
      </c>
    </row>
    <row r="7" spans="1:15" x14ac:dyDescent="0.35">
      <c r="A7" t="s">
        <v>275</v>
      </c>
      <c r="B7" t="s">
        <v>296</v>
      </c>
      <c r="C7">
        <v>21</v>
      </c>
      <c r="D7">
        <v>140</v>
      </c>
      <c r="E7">
        <v>315100</v>
      </c>
      <c r="G7">
        <v>25</v>
      </c>
      <c r="H7" t="s">
        <v>4</v>
      </c>
      <c r="K7" s="6">
        <v>150</v>
      </c>
      <c r="L7" s="6" t="s">
        <v>544</v>
      </c>
      <c r="N7">
        <v>125100</v>
      </c>
      <c r="O7" t="s">
        <v>492</v>
      </c>
    </row>
    <row r="8" spans="1:15" x14ac:dyDescent="0.35">
      <c r="A8" t="s">
        <v>275</v>
      </c>
      <c r="B8" t="s">
        <v>297</v>
      </c>
      <c r="C8">
        <v>21</v>
      </c>
      <c r="D8">
        <v>140</v>
      </c>
      <c r="E8">
        <v>315600</v>
      </c>
      <c r="G8">
        <v>26</v>
      </c>
      <c r="H8" t="s">
        <v>16</v>
      </c>
      <c r="K8" s="6">
        <v>160</v>
      </c>
      <c r="L8" s="6" t="s">
        <v>426</v>
      </c>
      <c r="N8">
        <v>130200</v>
      </c>
      <c r="O8" t="s">
        <v>493</v>
      </c>
    </row>
    <row r="9" spans="1:15" x14ac:dyDescent="0.35">
      <c r="A9" t="s">
        <v>275</v>
      </c>
      <c r="B9" t="s">
        <v>298</v>
      </c>
      <c r="C9">
        <v>21</v>
      </c>
      <c r="D9">
        <v>140</v>
      </c>
      <c r="E9">
        <v>315600</v>
      </c>
      <c r="G9">
        <v>27</v>
      </c>
      <c r="H9" t="s">
        <v>7</v>
      </c>
      <c r="K9" s="6">
        <v>170</v>
      </c>
      <c r="L9" s="6" t="s">
        <v>428</v>
      </c>
      <c r="N9">
        <v>130500</v>
      </c>
      <c r="O9" t="s">
        <v>494</v>
      </c>
    </row>
    <row r="10" spans="1:15" x14ac:dyDescent="0.35">
      <c r="A10" t="s">
        <v>275</v>
      </c>
      <c r="B10" t="s">
        <v>299</v>
      </c>
      <c r="C10">
        <v>29</v>
      </c>
      <c r="D10">
        <v>140</v>
      </c>
      <c r="E10">
        <v>340950</v>
      </c>
      <c r="G10">
        <v>28</v>
      </c>
      <c r="H10" t="s">
        <v>12</v>
      </c>
      <c r="K10" s="6">
        <v>110</v>
      </c>
      <c r="L10" s="6" t="s">
        <v>475</v>
      </c>
      <c r="N10">
        <v>135100</v>
      </c>
      <c r="O10" t="s">
        <v>495</v>
      </c>
    </row>
    <row r="11" spans="1:15" x14ac:dyDescent="0.35">
      <c r="A11" t="s">
        <v>275</v>
      </c>
      <c r="B11" t="s">
        <v>300</v>
      </c>
      <c r="C11">
        <v>21</v>
      </c>
      <c r="D11">
        <v>140</v>
      </c>
      <c r="E11">
        <v>315600</v>
      </c>
      <c r="G11">
        <v>29</v>
      </c>
      <c r="H11" t="s">
        <v>278</v>
      </c>
      <c r="K11" s="6">
        <v>115</v>
      </c>
      <c r="L11" s="6" t="s">
        <v>476</v>
      </c>
      <c r="N11">
        <v>135300</v>
      </c>
      <c r="O11" t="s">
        <v>496</v>
      </c>
    </row>
    <row r="12" spans="1:15" x14ac:dyDescent="0.35">
      <c r="A12" t="s">
        <v>275</v>
      </c>
      <c r="B12" t="s">
        <v>301</v>
      </c>
      <c r="C12">
        <v>21</v>
      </c>
      <c r="D12">
        <v>140</v>
      </c>
      <c r="E12">
        <v>315600</v>
      </c>
      <c r="G12">
        <v>30</v>
      </c>
      <c r="H12" t="s">
        <v>10</v>
      </c>
      <c r="K12" s="6">
        <v>270</v>
      </c>
      <c r="L12" s="6" t="s">
        <v>540</v>
      </c>
      <c r="N12">
        <v>145300</v>
      </c>
      <c r="O12" t="s">
        <v>497</v>
      </c>
    </row>
    <row r="13" spans="1:15" x14ac:dyDescent="0.35">
      <c r="A13" t="s">
        <v>275</v>
      </c>
      <c r="B13" t="s">
        <v>302</v>
      </c>
      <c r="C13">
        <v>21</v>
      </c>
      <c r="D13">
        <v>140</v>
      </c>
      <c r="E13">
        <v>315600</v>
      </c>
      <c r="G13">
        <v>31</v>
      </c>
      <c r="H13" t="s">
        <v>6</v>
      </c>
      <c r="K13" s="6">
        <v>272</v>
      </c>
      <c r="L13" s="6" t="s">
        <v>482</v>
      </c>
      <c r="N13">
        <v>145510</v>
      </c>
      <c r="O13" t="s">
        <v>498</v>
      </c>
    </row>
    <row r="14" spans="1:15" x14ac:dyDescent="0.35">
      <c r="A14" t="s">
        <v>275</v>
      </c>
      <c r="B14" t="s">
        <v>303</v>
      </c>
      <c r="C14">
        <v>21</v>
      </c>
      <c r="D14">
        <v>140</v>
      </c>
      <c r="E14">
        <v>315600</v>
      </c>
      <c r="G14">
        <v>32</v>
      </c>
      <c r="H14" t="s">
        <v>279</v>
      </c>
      <c r="K14" s="6">
        <v>490</v>
      </c>
      <c r="L14" s="6" t="s">
        <v>430</v>
      </c>
      <c r="N14">
        <v>145530</v>
      </c>
      <c r="O14" t="s">
        <v>499</v>
      </c>
    </row>
    <row r="15" spans="1:15" x14ac:dyDescent="0.35">
      <c r="A15" t="s">
        <v>275</v>
      </c>
      <c r="B15" t="s">
        <v>304</v>
      </c>
      <c r="C15">
        <v>21</v>
      </c>
      <c r="D15">
        <v>140</v>
      </c>
      <c r="E15">
        <v>315600</v>
      </c>
      <c r="G15">
        <v>33</v>
      </c>
      <c r="H15" t="s">
        <v>280</v>
      </c>
      <c r="K15" s="6">
        <v>240</v>
      </c>
      <c r="L15" s="6" t="s">
        <v>545</v>
      </c>
      <c r="N15">
        <v>150510</v>
      </c>
      <c r="O15" t="s">
        <v>500</v>
      </c>
    </row>
    <row r="16" spans="1:15" x14ac:dyDescent="0.35">
      <c r="A16" t="s">
        <v>275</v>
      </c>
      <c r="B16" t="s">
        <v>305</v>
      </c>
      <c r="C16">
        <v>21</v>
      </c>
      <c r="D16">
        <v>140</v>
      </c>
      <c r="E16">
        <v>315600</v>
      </c>
      <c r="G16">
        <v>34</v>
      </c>
      <c r="H16" t="s">
        <v>17</v>
      </c>
      <c r="K16" s="2">
        <v>331</v>
      </c>
      <c r="L16" s="2" t="s">
        <v>431</v>
      </c>
      <c r="N16">
        <v>160400</v>
      </c>
      <c r="O16" t="s">
        <v>531</v>
      </c>
    </row>
    <row r="17" spans="1:15" x14ac:dyDescent="0.35">
      <c r="A17" t="s">
        <v>275</v>
      </c>
      <c r="B17" t="s">
        <v>306</v>
      </c>
      <c r="C17">
        <v>34</v>
      </c>
      <c r="D17">
        <v>140</v>
      </c>
      <c r="E17">
        <v>340900</v>
      </c>
      <c r="G17">
        <v>35</v>
      </c>
      <c r="H17" t="s">
        <v>1</v>
      </c>
      <c r="K17" s="2">
        <v>330</v>
      </c>
      <c r="L17" s="2" t="s">
        <v>432</v>
      </c>
      <c r="N17">
        <v>160500</v>
      </c>
      <c r="O17" t="s">
        <v>532</v>
      </c>
    </row>
    <row r="18" spans="1:15" x14ac:dyDescent="0.35">
      <c r="A18" t="s">
        <v>275</v>
      </c>
      <c r="B18" t="s">
        <v>307</v>
      </c>
      <c r="C18">
        <v>22</v>
      </c>
      <c r="D18">
        <v>140</v>
      </c>
      <c r="E18">
        <v>325300</v>
      </c>
      <c r="G18">
        <v>36</v>
      </c>
      <c r="H18" t="s">
        <v>281</v>
      </c>
      <c r="N18">
        <v>160700</v>
      </c>
      <c r="O18" t="s">
        <v>533</v>
      </c>
    </row>
    <row r="19" spans="1:15" x14ac:dyDescent="0.35">
      <c r="A19" t="s">
        <v>275</v>
      </c>
      <c r="B19" t="s">
        <v>308</v>
      </c>
      <c r="C19">
        <v>22</v>
      </c>
      <c r="D19">
        <v>140</v>
      </c>
      <c r="E19">
        <v>320100</v>
      </c>
      <c r="G19">
        <v>37</v>
      </c>
      <c r="H19" t="s">
        <v>15</v>
      </c>
      <c r="N19">
        <v>162400</v>
      </c>
      <c r="O19" t="s">
        <v>534</v>
      </c>
    </row>
    <row r="20" spans="1:15" x14ac:dyDescent="0.35">
      <c r="A20" t="s">
        <v>275</v>
      </c>
      <c r="B20" t="s">
        <v>309</v>
      </c>
      <c r="C20">
        <v>22</v>
      </c>
      <c r="D20">
        <v>140</v>
      </c>
      <c r="E20">
        <v>320100</v>
      </c>
      <c r="G20">
        <v>38</v>
      </c>
      <c r="H20" t="s">
        <v>11</v>
      </c>
      <c r="N20">
        <v>162500</v>
      </c>
      <c r="O20" t="s">
        <v>535</v>
      </c>
    </row>
    <row r="21" spans="1:15" x14ac:dyDescent="0.35">
      <c r="A21" t="s">
        <v>275</v>
      </c>
      <c r="B21" t="s">
        <v>310</v>
      </c>
      <c r="C21">
        <v>23</v>
      </c>
      <c r="D21">
        <v>140</v>
      </c>
      <c r="E21">
        <v>340900</v>
      </c>
      <c r="G21">
        <v>39</v>
      </c>
      <c r="H21" t="s">
        <v>8</v>
      </c>
      <c r="N21">
        <v>162700</v>
      </c>
      <c r="O21" t="s">
        <v>536</v>
      </c>
    </row>
    <row r="22" spans="1:15" x14ac:dyDescent="0.35">
      <c r="A22" t="s">
        <v>275</v>
      </c>
      <c r="B22" t="s">
        <v>311</v>
      </c>
      <c r="C22">
        <v>22</v>
      </c>
      <c r="D22">
        <v>140</v>
      </c>
      <c r="E22">
        <v>340200</v>
      </c>
      <c r="G22">
        <v>40</v>
      </c>
      <c r="H22" t="s">
        <v>486</v>
      </c>
      <c r="N22">
        <v>165900</v>
      </c>
      <c r="O22" t="s">
        <v>501</v>
      </c>
    </row>
    <row r="23" spans="1:15" x14ac:dyDescent="0.35">
      <c r="A23" t="s">
        <v>275</v>
      </c>
      <c r="B23" t="s">
        <v>312</v>
      </c>
      <c r="C23">
        <v>24</v>
      </c>
      <c r="D23">
        <v>140</v>
      </c>
      <c r="E23">
        <v>340900</v>
      </c>
      <c r="G23">
        <v>41</v>
      </c>
      <c r="H23" t="s">
        <v>14</v>
      </c>
      <c r="N23">
        <v>175100</v>
      </c>
      <c r="O23" t="s">
        <v>502</v>
      </c>
    </row>
    <row r="24" spans="1:15" x14ac:dyDescent="0.35">
      <c r="A24" t="s">
        <v>275</v>
      </c>
      <c r="B24" t="s">
        <v>313</v>
      </c>
      <c r="C24">
        <v>25</v>
      </c>
      <c r="D24">
        <v>140</v>
      </c>
      <c r="E24">
        <v>330100</v>
      </c>
      <c r="N24">
        <v>180100</v>
      </c>
      <c r="O24" t="s">
        <v>503</v>
      </c>
    </row>
    <row r="25" spans="1:15" x14ac:dyDescent="0.35">
      <c r="A25" t="s">
        <v>275</v>
      </c>
      <c r="B25" t="s">
        <v>314</v>
      </c>
      <c r="C25">
        <v>40</v>
      </c>
      <c r="D25">
        <v>60</v>
      </c>
      <c r="E25">
        <v>310400</v>
      </c>
      <c r="N25">
        <v>210100</v>
      </c>
      <c r="O25" t="s">
        <v>504</v>
      </c>
    </row>
    <row r="26" spans="1:15" x14ac:dyDescent="0.35">
      <c r="A26" t="s">
        <v>275</v>
      </c>
      <c r="B26" t="s">
        <v>315</v>
      </c>
      <c r="C26">
        <v>22</v>
      </c>
      <c r="D26">
        <v>140</v>
      </c>
      <c r="E26">
        <v>340900</v>
      </c>
      <c r="G26" t="str">
        <f>VLOOKUP(Agrupamento[[#This Row],[Grupo]],Grupos[],2,FALSE)</f>
        <v>Infraestrutura</v>
      </c>
      <c r="N26">
        <v>215100</v>
      </c>
      <c r="O26" t="s">
        <v>505</v>
      </c>
    </row>
    <row r="27" spans="1:15" x14ac:dyDescent="0.35">
      <c r="A27" t="s">
        <v>275</v>
      </c>
      <c r="B27" t="s">
        <v>316</v>
      </c>
      <c r="C27">
        <v>38</v>
      </c>
      <c r="D27">
        <v>140</v>
      </c>
      <c r="E27">
        <v>340900</v>
      </c>
      <c r="G27" t="str">
        <f>VLOOKUP(Agrupamento[[#This Row],[Grupo]],Grupos[],2,FALSE)</f>
        <v>Material de Consumo</v>
      </c>
      <c r="N27">
        <v>220200</v>
      </c>
      <c r="O27" t="s">
        <v>506</v>
      </c>
    </row>
    <row r="28" spans="1:15" x14ac:dyDescent="0.35">
      <c r="A28" t="s">
        <v>275</v>
      </c>
      <c r="B28" t="s">
        <v>317</v>
      </c>
      <c r="C28">
        <v>27</v>
      </c>
      <c r="D28">
        <v>140</v>
      </c>
      <c r="E28">
        <v>340800</v>
      </c>
      <c r="G28" t="str">
        <f>VLOOKUP(Agrupamento[[#This Row],[Grupo]],Grupos[],2,FALSE)</f>
        <v>Viagens</v>
      </c>
      <c r="N28">
        <v>220300</v>
      </c>
      <c r="O28" t="s">
        <v>507</v>
      </c>
    </row>
    <row r="29" spans="1:15" x14ac:dyDescent="0.35">
      <c r="A29" t="s">
        <v>275</v>
      </c>
      <c r="B29" t="s">
        <v>318</v>
      </c>
      <c r="C29">
        <v>28</v>
      </c>
      <c r="D29">
        <v>140</v>
      </c>
      <c r="E29">
        <v>340300</v>
      </c>
      <c r="G29" t="str">
        <f>VLOOKUP(Agrupamento[[#This Row],[Grupo]],Grupos[],2,FALSE)</f>
        <v>Seguros</v>
      </c>
      <c r="N29">
        <v>225400</v>
      </c>
      <c r="O29" t="s">
        <v>508</v>
      </c>
    </row>
    <row r="30" spans="1:15" x14ac:dyDescent="0.35">
      <c r="A30" t="s">
        <v>275</v>
      </c>
      <c r="B30" t="s">
        <v>319</v>
      </c>
      <c r="C30">
        <v>29</v>
      </c>
      <c r="D30">
        <v>140</v>
      </c>
      <c r="E30">
        <v>340900</v>
      </c>
      <c r="G30" t="str">
        <f>VLOOKUP(Agrupamento[[#This Row],[Grupo]],Grupos[],2,FALSE)</f>
        <v>Serviços Terceiros</v>
      </c>
      <c r="N30">
        <v>225600</v>
      </c>
      <c r="O30" t="s">
        <v>509</v>
      </c>
    </row>
    <row r="31" spans="1:15" x14ac:dyDescent="0.35">
      <c r="A31" t="s">
        <v>275</v>
      </c>
      <c r="B31" t="s">
        <v>320</v>
      </c>
      <c r="C31">
        <v>29</v>
      </c>
      <c r="D31">
        <v>140</v>
      </c>
      <c r="E31">
        <v>340900</v>
      </c>
      <c r="G31" t="str">
        <f>VLOOKUP(Agrupamento[[#This Row],[Grupo]],Grupos[],2,FALSE)</f>
        <v>Serviços Terceiros</v>
      </c>
      <c r="N31">
        <v>235550</v>
      </c>
      <c r="O31" t="s">
        <v>510</v>
      </c>
    </row>
    <row r="32" spans="1:15" x14ac:dyDescent="0.35">
      <c r="A32" t="s">
        <v>275</v>
      </c>
      <c r="B32" t="s">
        <v>321</v>
      </c>
      <c r="C32">
        <v>29</v>
      </c>
      <c r="D32">
        <v>140</v>
      </c>
      <c r="E32">
        <v>340900</v>
      </c>
      <c r="G32" t="str">
        <f>VLOOKUP(Agrupamento[[#This Row],[Grupo]],Grupos[],2,FALSE)</f>
        <v>Serviços Terceiros</v>
      </c>
      <c r="N32">
        <v>240950</v>
      </c>
      <c r="O32" t="s">
        <v>511</v>
      </c>
    </row>
    <row r="33" spans="1:15" x14ac:dyDescent="0.35">
      <c r="A33" t="s">
        <v>275</v>
      </c>
      <c r="B33" t="s">
        <v>322</v>
      </c>
      <c r="C33">
        <v>39</v>
      </c>
      <c r="D33">
        <v>30</v>
      </c>
      <c r="E33">
        <v>310100</v>
      </c>
      <c r="G33" t="str">
        <f>VLOOKUP(Agrupamento[[#This Row],[Grupo]],Grupos[],2,FALSE)</f>
        <v>Fretes</v>
      </c>
      <c r="N33">
        <v>260100</v>
      </c>
      <c r="O33" t="s">
        <v>512</v>
      </c>
    </row>
    <row r="34" spans="1:15" x14ac:dyDescent="0.35">
      <c r="A34" t="s">
        <v>275</v>
      </c>
      <c r="B34" t="s">
        <v>323</v>
      </c>
      <c r="C34">
        <v>30</v>
      </c>
      <c r="D34">
        <v>140</v>
      </c>
      <c r="E34">
        <v>340900</v>
      </c>
      <c r="G34" t="str">
        <f>VLOOKUP(Agrupamento[[#This Row],[Grupo]],Grupos[],2,FALSE)</f>
        <v>Transportes</v>
      </c>
      <c r="N34">
        <v>260820</v>
      </c>
      <c r="O34" t="s">
        <v>513</v>
      </c>
    </row>
    <row r="35" spans="1:15" x14ac:dyDescent="0.35">
      <c r="A35" t="s">
        <v>275</v>
      </c>
      <c r="B35" t="s">
        <v>324</v>
      </c>
      <c r="C35">
        <v>31</v>
      </c>
      <c r="D35">
        <v>140</v>
      </c>
      <c r="E35">
        <v>340900</v>
      </c>
      <c r="G35" t="str">
        <f>VLOOKUP(Agrupamento[[#This Row],[Grupo]],Grupos[],2,FALSE)</f>
        <v>Brindes</v>
      </c>
      <c r="N35">
        <v>260825</v>
      </c>
      <c r="O35" t="s">
        <v>514</v>
      </c>
    </row>
    <row r="36" spans="1:15" x14ac:dyDescent="0.35">
      <c r="A36" t="s">
        <v>275</v>
      </c>
      <c r="B36" t="s">
        <v>325</v>
      </c>
      <c r="C36">
        <v>32</v>
      </c>
      <c r="D36">
        <v>140</v>
      </c>
      <c r="E36">
        <v>340900</v>
      </c>
      <c r="G36" t="str">
        <f>VLOOKUP(Agrupamento[[#This Row],[Grupo]],Grupos[],2,FALSE)</f>
        <v>MarkCom</v>
      </c>
      <c r="N36">
        <v>302100</v>
      </c>
      <c r="O36" t="s">
        <v>515</v>
      </c>
    </row>
    <row r="37" spans="1:15" x14ac:dyDescent="0.35">
      <c r="A37" t="s">
        <v>275</v>
      </c>
      <c r="B37" t="s">
        <v>326</v>
      </c>
      <c r="C37">
        <v>32</v>
      </c>
      <c r="D37">
        <v>140</v>
      </c>
      <c r="E37">
        <v>340900</v>
      </c>
      <c r="G37" t="str">
        <f>VLOOKUP(Agrupamento[[#This Row],[Grupo]],Grupos[],2,FALSE)</f>
        <v>MarkCom</v>
      </c>
      <c r="N37">
        <v>305100</v>
      </c>
      <c r="O37" t="s">
        <v>516</v>
      </c>
    </row>
    <row r="38" spans="1:15" x14ac:dyDescent="0.35">
      <c r="A38" t="s">
        <v>275</v>
      </c>
      <c r="B38" t="s">
        <v>327</v>
      </c>
      <c r="C38">
        <v>30</v>
      </c>
      <c r="D38">
        <v>140</v>
      </c>
      <c r="E38">
        <v>340200</v>
      </c>
      <c r="G38" t="str">
        <f>VLOOKUP(Agrupamento[[#This Row],[Grupo]],Grupos[],2,FALSE)</f>
        <v>Transportes</v>
      </c>
      <c r="N38">
        <v>310100</v>
      </c>
      <c r="O38" t="s">
        <v>517</v>
      </c>
    </row>
    <row r="39" spans="1:15" x14ac:dyDescent="0.35">
      <c r="A39" t="s">
        <v>275</v>
      </c>
      <c r="B39" t="s">
        <v>328</v>
      </c>
      <c r="C39">
        <v>30</v>
      </c>
      <c r="D39">
        <v>140</v>
      </c>
      <c r="E39">
        <v>340900</v>
      </c>
      <c r="G39" t="str">
        <f>VLOOKUP(Agrupamento[[#This Row],[Grupo]],Grupos[],2,FALSE)</f>
        <v>Transportes</v>
      </c>
      <c r="N39">
        <v>310400</v>
      </c>
      <c r="O39" t="s">
        <v>518</v>
      </c>
    </row>
    <row r="40" spans="1:15" x14ac:dyDescent="0.35">
      <c r="A40" t="s">
        <v>275</v>
      </c>
      <c r="B40" t="s">
        <v>329</v>
      </c>
      <c r="C40">
        <v>26</v>
      </c>
      <c r="D40">
        <v>140</v>
      </c>
      <c r="E40">
        <v>340900</v>
      </c>
      <c r="G40" t="str">
        <f>VLOOKUP(Agrupamento[[#This Row],[Grupo]],Grupos[],2,FALSE)</f>
        <v>Diversos</v>
      </c>
      <c r="N40">
        <v>311200</v>
      </c>
      <c r="O40" t="s">
        <v>473</v>
      </c>
    </row>
    <row r="41" spans="1:15" x14ac:dyDescent="0.35">
      <c r="A41" t="s">
        <v>275</v>
      </c>
      <c r="B41" t="s">
        <v>423</v>
      </c>
      <c r="C41">
        <v>37</v>
      </c>
      <c r="D41">
        <v>150</v>
      </c>
      <c r="E41">
        <v>341000</v>
      </c>
      <c r="G41" t="str">
        <f>VLOOKUP(Agrupamento[[#This Row],[Grupo]],Grupos[],2,FALSE)</f>
        <v>Perdas</v>
      </c>
      <c r="N41">
        <v>311250</v>
      </c>
      <c r="O41" t="s">
        <v>472</v>
      </c>
    </row>
    <row r="42" spans="1:15" x14ac:dyDescent="0.35">
      <c r="A42" t="s">
        <v>275</v>
      </c>
      <c r="B42" t="s">
        <v>330</v>
      </c>
      <c r="C42">
        <v>26</v>
      </c>
      <c r="D42">
        <v>140</v>
      </c>
      <c r="E42">
        <v>340900</v>
      </c>
      <c r="G42" t="str">
        <f>VLOOKUP(Agrupamento[[#This Row],[Grupo]],Grupos[],2,FALSE)</f>
        <v>Diversos</v>
      </c>
      <c r="N42">
        <v>315100</v>
      </c>
      <c r="O42" t="s">
        <v>446</v>
      </c>
    </row>
    <row r="43" spans="1:15" x14ac:dyDescent="0.35">
      <c r="A43" t="s">
        <v>275</v>
      </c>
      <c r="B43" t="s">
        <v>331</v>
      </c>
      <c r="C43">
        <v>24</v>
      </c>
      <c r="D43">
        <v>140</v>
      </c>
      <c r="E43">
        <v>340900</v>
      </c>
      <c r="G43" t="str">
        <f>VLOOKUP(Agrupamento[[#This Row],[Grupo]],Grupos[],2,FALSE)</f>
        <v>Manutenção</v>
      </c>
      <c r="N43">
        <v>315400</v>
      </c>
      <c r="O43" t="s">
        <v>454</v>
      </c>
    </row>
    <row r="44" spans="1:15" x14ac:dyDescent="0.35">
      <c r="A44" t="s">
        <v>275</v>
      </c>
      <c r="B44" t="s">
        <v>332</v>
      </c>
      <c r="C44">
        <v>29</v>
      </c>
      <c r="D44">
        <v>140</v>
      </c>
      <c r="E44">
        <v>340900</v>
      </c>
      <c r="G44" t="str">
        <f>VLOOKUP(Agrupamento[[#This Row],[Grupo]],Grupos[],2,FALSE)</f>
        <v>Serviços Terceiros</v>
      </c>
      <c r="N44">
        <v>315600</v>
      </c>
      <c r="O44" t="s">
        <v>467</v>
      </c>
    </row>
    <row r="45" spans="1:15" x14ac:dyDescent="0.35">
      <c r="A45" s="13" t="s">
        <v>275</v>
      </c>
      <c r="B45" s="1">
        <v>45010100040</v>
      </c>
      <c r="C45" s="13">
        <v>29</v>
      </c>
      <c r="D45" s="13">
        <v>140</v>
      </c>
      <c r="E45" s="13">
        <v>340900</v>
      </c>
      <c r="G45" s="13" t="str">
        <f>VLOOKUP(Agrupamento[[#This Row],[Grupo]],Grupos[],2,FALSE)</f>
        <v>Serviços Terceiros</v>
      </c>
      <c r="N45">
        <v>315800</v>
      </c>
      <c r="O45" t="s">
        <v>444</v>
      </c>
    </row>
    <row r="46" spans="1:15" x14ac:dyDescent="0.35">
      <c r="A46" t="s">
        <v>275</v>
      </c>
      <c r="B46" t="s">
        <v>546</v>
      </c>
      <c r="C46">
        <v>22</v>
      </c>
      <c r="D46">
        <v>140</v>
      </c>
      <c r="E46">
        <v>340900</v>
      </c>
      <c r="G46" t="str">
        <f>VLOOKUP(Agrupamento[[#This Row],[Grupo]],Grupos[],2,FALSE)</f>
        <v>Infraestrutura</v>
      </c>
      <c r="N46">
        <v>320100</v>
      </c>
      <c r="O46" t="s">
        <v>466</v>
      </c>
    </row>
    <row r="47" spans="1:15" x14ac:dyDescent="0.35">
      <c r="A47" t="s">
        <v>275</v>
      </c>
      <c r="B47" t="s">
        <v>333</v>
      </c>
      <c r="C47">
        <v>21</v>
      </c>
      <c r="D47">
        <v>160</v>
      </c>
      <c r="E47">
        <v>315100</v>
      </c>
      <c r="G47" t="str">
        <f>VLOOKUP(Agrupamento[[#This Row],[Grupo]],Grupos[],2,FALSE)</f>
        <v>Pessoas</v>
      </c>
      <c r="N47">
        <v>325200</v>
      </c>
      <c r="O47" t="s">
        <v>442</v>
      </c>
    </row>
    <row r="48" spans="1:15" x14ac:dyDescent="0.35">
      <c r="A48" t="s">
        <v>275</v>
      </c>
      <c r="B48" t="s">
        <v>334</v>
      </c>
      <c r="C48">
        <v>21</v>
      </c>
      <c r="D48">
        <v>160</v>
      </c>
      <c r="E48">
        <v>315600</v>
      </c>
      <c r="G48" t="str">
        <f>VLOOKUP(Agrupamento[[#This Row],[Grupo]],Grupos[],2,FALSE)</f>
        <v>Pessoas</v>
      </c>
      <c r="N48">
        <v>325300</v>
      </c>
      <c r="O48" t="s">
        <v>441</v>
      </c>
    </row>
    <row r="49" spans="1:15" x14ac:dyDescent="0.35">
      <c r="A49" t="s">
        <v>275</v>
      </c>
      <c r="B49" t="s">
        <v>335</v>
      </c>
      <c r="C49">
        <v>21</v>
      </c>
      <c r="D49">
        <v>160</v>
      </c>
      <c r="E49">
        <v>315600</v>
      </c>
      <c r="G49" t="str">
        <f>VLOOKUP(Agrupamento[[#This Row],[Grupo]],Grupos[],2,FALSE)</f>
        <v>Pessoas</v>
      </c>
      <c r="N49">
        <v>330100</v>
      </c>
      <c r="O49" t="s">
        <v>453</v>
      </c>
    </row>
    <row r="50" spans="1:15" x14ac:dyDescent="0.35">
      <c r="A50" t="s">
        <v>275</v>
      </c>
      <c r="B50" t="s">
        <v>336</v>
      </c>
      <c r="C50">
        <v>21</v>
      </c>
      <c r="D50">
        <v>160</v>
      </c>
      <c r="E50">
        <v>315600</v>
      </c>
      <c r="G50" t="str">
        <f>VLOOKUP(Agrupamento[[#This Row],[Grupo]],Grupos[],2,FALSE)</f>
        <v>Pessoas</v>
      </c>
      <c r="N50">
        <v>330200</v>
      </c>
      <c r="O50" t="s">
        <v>519</v>
      </c>
    </row>
    <row r="51" spans="1:15" x14ac:dyDescent="0.35">
      <c r="A51" t="s">
        <v>275</v>
      </c>
      <c r="B51" t="s">
        <v>337</v>
      </c>
      <c r="C51">
        <v>21</v>
      </c>
      <c r="D51">
        <v>160</v>
      </c>
      <c r="E51">
        <v>315600</v>
      </c>
      <c r="G51" t="str">
        <f>VLOOKUP(Agrupamento[[#This Row],[Grupo]],Grupos[],2,FALSE)</f>
        <v>Pessoas</v>
      </c>
      <c r="N51">
        <v>340200</v>
      </c>
      <c r="O51" t="s">
        <v>439</v>
      </c>
    </row>
    <row r="52" spans="1:15" x14ac:dyDescent="0.35">
      <c r="A52" t="s">
        <v>275</v>
      </c>
      <c r="B52" t="s">
        <v>338</v>
      </c>
      <c r="C52">
        <v>21</v>
      </c>
      <c r="D52">
        <v>160</v>
      </c>
      <c r="E52">
        <v>315600</v>
      </c>
      <c r="G52" t="str">
        <f>VLOOKUP(Agrupamento[[#This Row],[Grupo]],Grupos[],2,FALSE)</f>
        <v>Pessoas</v>
      </c>
      <c r="N52">
        <v>340300</v>
      </c>
      <c r="O52" t="s">
        <v>438</v>
      </c>
    </row>
    <row r="53" spans="1:15" x14ac:dyDescent="0.35">
      <c r="A53" t="s">
        <v>275</v>
      </c>
      <c r="B53" t="s">
        <v>339</v>
      </c>
      <c r="C53">
        <v>21</v>
      </c>
      <c r="D53">
        <v>160</v>
      </c>
      <c r="E53">
        <v>315600</v>
      </c>
      <c r="G53" t="str">
        <f>VLOOKUP(Agrupamento[[#This Row],[Grupo]],Grupos[],2,FALSE)</f>
        <v>Pessoas</v>
      </c>
      <c r="N53">
        <v>340400</v>
      </c>
      <c r="O53" t="s">
        <v>437</v>
      </c>
    </row>
    <row r="54" spans="1:15" x14ac:dyDescent="0.35">
      <c r="A54" t="s">
        <v>275</v>
      </c>
      <c r="B54" t="s">
        <v>340</v>
      </c>
      <c r="C54">
        <v>21</v>
      </c>
      <c r="D54">
        <v>160</v>
      </c>
      <c r="E54">
        <v>315600</v>
      </c>
      <c r="G54" t="str">
        <f>VLOOKUP(Agrupamento[[#This Row],[Grupo]],Grupos[],2,FALSE)</f>
        <v>Pessoas</v>
      </c>
      <c r="N54">
        <v>340800</v>
      </c>
      <c r="O54" t="s">
        <v>456</v>
      </c>
    </row>
    <row r="55" spans="1:15" x14ac:dyDescent="0.35">
      <c r="A55" t="s">
        <v>275</v>
      </c>
      <c r="B55" t="s">
        <v>341</v>
      </c>
      <c r="C55">
        <v>21</v>
      </c>
      <c r="D55">
        <v>140</v>
      </c>
      <c r="E55">
        <v>340900</v>
      </c>
      <c r="G55" t="str">
        <f>VLOOKUP(Agrupamento[[#This Row],[Grupo]],Grupos[],2,FALSE)</f>
        <v>Pessoas</v>
      </c>
      <c r="N55">
        <v>340900</v>
      </c>
      <c r="O55" t="s">
        <v>455</v>
      </c>
    </row>
    <row r="56" spans="1:15" x14ac:dyDescent="0.35">
      <c r="A56" t="s">
        <v>275</v>
      </c>
      <c r="B56" t="s">
        <v>342</v>
      </c>
      <c r="C56">
        <v>34</v>
      </c>
      <c r="D56">
        <v>160</v>
      </c>
      <c r="E56">
        <v>340900</v>
      </c>
      <c r="G56" t="str">
        <f>VLOOKUP(Agrupamento[[#This Row],[Grupo]],Grupos[],2,FALSE)</f>
        <v>Taxas</v>
      </c>
      <c r="N56">
        <v>340950</v>
      </c>
      <c r="O56" t="s">
        <v>449</v>
      </c>
    </row>
    <row r="57" spans="1:15" x14ac:dyDescent="0.35">
      <c r="A57" t="s">
        <v>275</v>
      </c>
      <c r="B57" t="s">
        <v>343</v>
      </c>
      <c r="C57">
        <v>22</v>
      </c>
      <c r="D57">
        <v>140</v>
      </c>
      <c r="E57">
        <v>325300</v>
      </c>
      <c r="G57" t="str">
        <f>VLOOKUP(Agrupamento[[#This Row],[Grupo]],Grupos[],2,FALSE)</f>
        <v>Infraestrutura</v>
      </c>
      <c r="N57">
        <v>341000</v>
      </c>
      <c r="O57" t="s">
        <v>448</v>
      </c>
    </row>
    <row r="58" spans="1:15" x14ac:dyDescent="0.35">
      <c r="A58" t="s">
        <v>275</v>
      </c>
      <c r="B58" t="s">
        <v>344</v>
      </c>
      <c r="C58">
        <v>22</v>
      </c>
      <c r="D58">
        <v>160</v>
      </c>
      <c r="E58">
        <v>320100</v>
      </c>
      <c r="G58" t="str">
        <f>VLOOKUP(Agrupamento[[#This Row],[Grupo]],Grupos[],2,FALSE)</f>
        <v>Infraestrutura</v>
      </c>
      <c r="N58">
        <v>341200</v>
      </c>
      <c r="O58" t="s">
        <v>477</v>
      </c>
    </row>
    <row r="59" spans="1:15" x14ac:dyDescent="0.35">
      <c r="A59" t="s">
        <v>275</v>
      </c>
      <c r="B59" t="s">
        <v>345</v>
      </c>
      <c r="C59">
        <v>22</v>
      </c>
      <c r="D59">
        <v>160</v>
      </c>
      <c r="E59">
        <v>320100</v>
      </c>
      <c r="G59" t="str">
        <f>VLOOKUP(Agrupamento[[#This Row],[Grupo]],Grupos[],2,FALSE)</f>
        <v>Infraestrutura</v>
      </c>
      <c r="N59">
        <v>343000</v>
      </c>
      <c r="O59" t="s">
        <v>460</v>
      </c>
    </row>
    <row r="60" spans="1:15" x14ac:dyDescent="0.35">
      <c r="A60" s="13" t="s">
        <v>275</v>
      </c>
      <c r="B60" s="1">
        <v>45020100015</v>
      </c>
      <c r="C60" s="13">
        <v>23</v>
      </c>
      <c r="D60" s="13">
        <v>160</v>
      </c>
      <c r="E60" s="13">
        <v>320100</v>
      </c>
      <c r="G60" t="str">
        <f>VLOOKUP(Agrupamento[[#This Row],[Grupo]],Grupos[],2,FALSE)</f>
        <v>Outros</v>
      </c>
      <c r="N60">
        <v>350100</v>
      </c>
      <c r="O60" t="s">
        <v>520</v>
      </c>
    </row>
    <row r="61" spans="1:15" x14ac:dyDescent="0.35">
      <c r="A61" t="s">
        <v>275</v>
      </c>
      <c r="B61" t="s">
        <v>346</v>
      </c>
      <c r="C61">
        <v>22</v>
      </c>
      <c r="D61">
        <v>160</v>
      </c>
      <c r="E61">
        <v>340200</v>
      </c>
      <c r="G61" t="str">
        <f>VLOOKUP(Agrupamento[[#This Row],[Grupo]],Grupos[],2,FALSE)</f>
        <v>Infraestrutura</v>
      </c>
      <c r="N61">
        <v>350700</v>
      </c>
      <c r="O61" t="s">
        <v>521</v>
      </c>
    </row>
    <row r="62" spans="1:15" x14ac:dyDescent="0.35">
      <c r="A62" t="s">
        <v>275</v>
      </c>
      <c r="B62" t="s">
        <v>347</v>
      </c>
      <c r="C62">
        <v>24</v>
      </c>
      <c r="D62">
        <v>140</v>
      </c>
      <c r="E62">
        <v>340900</v>
      </c>
      <c r="G62" t="str">
        <f>VLOOKUP(Agrupamento[[#This Row],[Grupo]],Grupos[],2,FALSE)</f>
        <v>Manutenção</v>
      </c>
      <c r="N62">
        <v>355100</v>
      </c>
      <c r="O62" t="s">
        <v>522</v>
      </c>
    </row>
    <row r="63" spans="1:15" x14ac:dyDescent="0.35">
      <c r="A63" t="s">
        <v>275</v>
      </c>
      <c r="B63" t="s">
        <v>348</v>
      </c>
      <c r="C63">
        <v>25</v>
      </c>
      <c r="D63">
        <v>160</v>
      </c>
      <c r="E63">
        <v>330100</v>
      </c>
      <c r="G63" t="str">
        <f>VLOOKUP(Agrupamento[[#This Row],[Grupo]],Grupos[],2,FALSE)</f>
        <v>Depreciação</v>
      </c>
      <c r="N63">
        <v>355200</v>
      </c>
      <c r="O63" t="s">
        <v>523</v>
      </c>
    </row>
    <row r="64" spans="1:15" x14ac:dyDescent="0.35">
      <c r="A64" t="s">
        <v>275</v>
      </c>
      <c r="B64" t="s">
        <v>349</v>
      </c>
      <c r="C64">
        <v>40</v>
      </c>
      <c r="D64">
        <v>60</v>
      </c>
      <c r="E64">
        <v>310400</v>
      </c>
      <c r="G64" t="str">
        <f>VLOOKUP(Agrupamento[[#This Row],[Grupo]],Grupos[],2,FALSE)</f>
        <v>Depreciação Locação</v>
      </c>
      <c r="N64">
        <v>355500</v>
      </c>
      <c r="O64" t="s">
        <v>524</v>
      </c>
    </row>
    <row r="65" spans="1:15" x14ac:dyDescent="0.35">
      <c r="A65" t="s">
        <v>275</v>
      </c>
      <c r="B65" t="s">
        <v>350</v>
      </c>
      <c r="C65">
        <v>22</v>
      </c>
      <c r="D65">
        <v>160</v>
      </c>
      <c r="E65">
        <v>340900</v>
      </c>
      <c r="G65" t="str">
        <f>VLOOKUP(Agrupamento[[#This Row],[Grupo]],Grupos[],2,FALSE)</f>
        <v>Infraestrutura</v>
      </c>
      <c r="N65">
        <v>355600</v>
      </c>
      <c r="O65" t="s">
        <v>525</v>
      </c>
    </row>
    <row r="66" spans="1:15" x14ac:dyDescent="0.35">
      <c r="A66" t="s">
        <v>275</v>
      </c>
      <c r="B66" t="s">
        <v>351</v>
      </c>
      <c r="C66">
        <v>38</v>
      </c>
      <c r="D66">
        <v>160</v>
      </c>
      <c r="E66">
        <v>340900</v>
      </c>
      <c r="G66" t="str">
        <f>VLOOKUP(Agrupamento[[#This Row],[Grupo]],Grupos[],2,FALSE)</f>
        <v>Material de Consumo</v>
      </c>
      <c r="N66">
        <v>360200</v>
      </c>
      <c r="O66" t="s">
        <v>526</v>
      </c>
    </row>
    <row r="67" spans="1:15" x14ac:dyDescent="0.35">
      <c r="A67" t="s">
        <v>275</v>
      </c>
      <c r="B67" t="s">
        <v>352</v>
      </c>
      <c r="C67">
        <v>27</v>
      </c>
      <c r="D67">
        <v>160</v>
      </c>
      <c r="E67">
        <v>340800</v>
      </c>
      <c r="G67" t="str">
        <f>VLOOKUP(Agrupamento[[#This Row],[Grupo]],Grupos[],2,FALSE)</f>
        <v>Viagens</v>
      </c>
      <c r="N67">
        <v>365200</v>
      </c>
      <c r="O67" t="s">
        <v>479</v>
      </c>
    </row>
    <row r="68" spans="1:15" x14ac:dyDescent="0.35">
      <c r="A68" t="s">
        <v>275</v>
      </c>
      <c r="B68" t="s">
        <v>353</v>
      </c>
      <c r="C68">
        <v>28</v>
      </c>
      <c r="D68">
        <v>160</v>
      </c>
      <c r="E68">
        <v>340300</v>
      </c>
      <c r="G68" t="str">
        <f>VLOOKUP(Agrupamento[[#This Row],[Grupo]],Grupos[],2,FALSE)</f>
        <v>Seguros</v>
      </c>
      <c r="N68">
        <v>365300</v>
      </c>
      <c r="O68" t="s">
        <v>527</v>
      </c>
    </row>
    <row r="69" spans="1:15" x14ac:dyDescent="0.35">
      <c r="A69" t="s">
        <v>275</v>
      </c>
      <c r="B69" t="s">
        <v>354</v>
      </c>
      <c r="C69">
        <v>29</v>
      </c>
      <c r="D69">
        <v>160</v>
      </c>
      <c r="E69">
        <v>340900</v>
      </c>
      <c r="G69" t="str">
        <f>VLOOKUP(Agrupamento[[#This Row],[Grupo]],Grupos[],2,FALSE)</f>
        <v>Serviços Terceiros</v>
      </c>
    </row>
    <row r="70" spans="1:15" x14ac:dyDescent="0.35">
      <c r="A70" t="s">
        <v>275</v>
      </c>
      <c r="B70" t="s">
        <v>355</v>
      </c>
      <c r="C70">
        <v>39</v>
      </c>
      <c r="D70">
        <v>30</v>
      </c>
      <c r="E70">
        <v>310100</v>
      </c>
      <c r="G70" t="str">
        <f>VLOOKUP(Agrupamento[[#This Row],[Grupo]],Grupos[],2,FALSE)</f>
        <v>Fretes</v>
      </c>
    </row>
    <row r="71" spans="1:15" x14ac:dyDescent="0.35">
      <c r="A71" t="s">
        <v>275</v>
      </c>
      <c r="B71" t="s">
        <v>421</v>
      </c>
      <c r="C71">
        <v>30</v>
      </c>
      <c r="D71">
        <v>140</v>
      </c>
      <c r="E71">
        <v>340900</v>
      </c>
      <c r="G71" t="str">
        <f>VLOOKUP(Agrupamento[[#This Row],[Grupo]],Grupos[],2,FALSE)</f>
        <v>Transportes</v>
      </c>
    </row>
    <row r="72" spans="1:15" x14ac:dyDescent="0.35">
      <c r="A72" t="s">
        <v>275</v>
      </c>
      <c r="B72" t="s">
        <v>547</v>
      </c>
      <c r="C72">
        <v>31</v>
      </c>
      <c r="D72">
        <v>160</v>
      </c>
      <c r="E72">
        <v>340900</v>
      </c>
      <c r="G72" t="str">
        <f>VLOOKUP(Agrupamento[[#This Row],[Grupo]],Grupos[],2,FALSE)</f>
        <v>Brindes</v>
      </c>
    </row>
    <row r="73" spans="1:15" x14ac:dyDescent="0.35">
      <c r="A73" t="s">
        <v>275</v>
      </c>
      <c r="B73" t="s">
        <v>356</v>
      </c>
      <c r="C73">
        <v>32</v>
      </c>
      <c r="D73">
        <v>140</v>
      </c>
      <c r="E73">
        <v>340900</v>
      </c>
      <c r="G73" t="str">
        <f>VLOOKUP(Agrupamento[[#This Row],[Grupo]],Grupos[],2,FALSE)</f>
        <v>MarkCom</v>
      </c>
    </row>
    <row r="74" spans="1:15" x14ac:dyDescent="0.35">
      <c r="A74" t="s">
        <v>275</v>
      </c>
      <c r="B74" t="s">
        <v>357</v>
      </c>
      <c r="C74">
        <v>30</v>
      </c>
      <c r="D74">
        <v>140</v>
      </c>
      <c r="E74">
        <v>340200</v>
      </c>
      <c r="G74" t="str">
        <f>VLOOKUP(Agrupamento[[#This Row],[Grupo]],Grupos[],2,FALSE)</f>
        <v>Transportes</v>
      </c>
    </row>
    <row r="75" spans="1:15" x14ac:dyDescent="0.35">
      <c r="A75" t="s">
        <v>275</v>
      </c>
      <c r="B75" t="s">
        <v>415</v>
      </c>
      <c r="C75">
        <v>30</v>
      </c>
      <c r="D75">
        <v>140</v>
      </c>
      <c r="E75">
        <v>340900</v>
      </c>
      <c r="G75" t="str">
        <f>VLOOKUP(Agrupamento[[#This Row],[Grupo]],Grupos[],2,FALSE)</f>
        <v>Transportes</v>
      </c>
    </row>
    <row r="76" spans="1:15" x14ac:dyDescent="0.35">
      <c r="A76" t="s">
        <v>275</v>
      </c>
      <c r="B76" t="s">
        <v>358</v>
      </c>
      <c r="C76">
        <v>26</v>
      </c>
      <c r="D76">
        <v>160</v>
      </c>
      <c r="E76">
        <v>340900</v>
      </c>
      <c r="G76" t="str">
        <f>VLOOKUP(Agrupamento[[#This Row],[Grupo]],Grupos[],2,FALSE)</f>
        <v>Diversos</v>
      </c>
    </row>
    <row r="77" spans="1:15" x14ac:dyDescent="0.35">
      <c r="A77" t="s">
        <v>275</v>
      </c>
      <c r="B77" t="s">
        <v>359</v>
      </c>
      <c r="C77">
        <v>24</v>
      </c>
      <c r="D77">
        <v>140</v>
      </c>
      <c r="E77">
        <v>340900</v>
      </c>
      <c r="G77" t="str">
        <f>VLOOKUP(Agrupamento[[#This Row],[Grupo]],Grupos[],2,FALSE)</f>
        <v>Manutenção</v>
      </c>
    </row>
    <row r="78" spans="1:15" x14ac:dyDescent="0.35">
      <c r="A78" t="s">
        <v>275</v>
      </c>
      <c r="B78" t="s">
        <v>420</v>
      </c>
      <c r="C78">
        <v>29</v>
      </c>
      <c r="D78">
        <v>140</v>
      </c>
      <c r="E78">
        <v>340900</v>
      </c>
      <c r="G78" t="str">
        <f>VLOOKUP(Agrupamento[[#This Row],[Grupo]],Grupos[],2,FALSE)</f>
        <v>Serviços Terceiros</v>
      </c>
    </row>
    <row r="79" spans="1:15" x14ac:dyDescent="0.35">
      <c r="A79" t="s">
        <v>275</v>
      </c>
      <c r="B79" t="s">
        <v>548</v>
      </c>
      <c r="C79">
        <v>22</v>
      </c>
      <c r="D79">
        <v>160</v>
      </c>
      <c r="E79">
        <v>340900</v>
      </c>
      <c r="G79" t="str">
        <f>VLOOKUP(Agrupamento[[#This Row],[Grupo]],Grupos[],2,FALSE)</f>
        <v>Infraestrutura</v>
      </c>
    </row>
    <row r="80" spans="1:15" x14ac:dyDescent="0.35">
      <c r="A80" t="s">
        <v>275</v>
      </c>
      <c r="B80" t="s">
        <v>360</v>
      </c>
      <c r="C80">
        <v>21</v>
      </c>
      <c r="D80">
        <v>170</v>
      </c>
      <c r="E80">
        <v>315100</v>
      </c>
      <c r="G80" t="str">
        <f>VLOOKUP(Agrupamento[[#This Row],[Grupo]],Grupos[],2,FALSE)</f>
        <v>Pessoas</v>
      </c>
    </row>
    <row r="81" spans="1:7" x14ac:dyDescent="0.35">
      <c r="A81" t="s">
        <v>275</v>
      </c>
      <c r="B81" t="s">
        <v>361</v>
      </c>
      <c r="C81">
        <v>21</v>
      </c>
      <c r="D81">
        <v>170</v>
      </c>
      <c r="E81">
        <v>315600</v>
      </c>
      <c r="G81" t="str">
        <f>VLOOKUP(Agrupamento[[#This Row],[Grupo]],Grupos[],2,FALSE)</f>
        <v>Pessoas</v>
      </c>
    </row>
    <row r="82" spans="1:7" x14ac:dyDescent="0.35">
      <c r="A82" t="s">
        <v>275</v>
      </c>
      <c r="B82" t="s">
        <v>362</v>
      </c>
      <c r="C82">
        <v>21</v>
      </c>
      <c r="D82">
        <v>170</v>
      </c>
      <c r="E82">
        <v>315600</v>
      </c>
      <c r="G82" t="str">
        <f>VLOOKUP(Agrupamento[[#This Row],[Grupo]],Grupos[],2,FALSE)</f>
        <v>Pessoas</v>
      </c>
    </row>
    <row r="83" spans="1:7" x14ac:dyDescent="0.35">
      <c r="A83" t="s">
        <v>275</v>
      </c>
      <c r="B83" t="s">
        <v>363</v>
      </c>
      <c r="C83">
        <v>21</v>
      </c>
      <c r="D83">
        <v>170</v>
      </c>
      <c r="E83">
        <v>315600</v>
      </c>
      <c r="G83" t="str">
        <f>VLOOKUP(Agrupamento[[#This Row],[Grupo]],Grupos[],2,FALSE)</f>
        <v>Pessoas</v>
      </c>
    </row>
    <row r="84" spans="1:7" x14ac:dyDescent="0.35">
      <c r="A84" t="s">
        <v>275</v>
      </c>
      <c r="B84" t="s">
        <v>364</v>
      </c>
      <c r="C84">
        <v>21</v>
      </c>
      <c r="D84">
        <v>170</v>
      </c>
      <c r="E84">
        <v>315600</v>
      </c>
      <c r="G84" t="str">
        <f>VLOOKUP(Agrupamento[[#This Row],[Grupo]],Grupos[],2,FALSE)</f>
        <v>Pessoas</v>
      </c>
    </row>
    <row r="85" spans="1:7" x14ac:dyDescent="0.35">
      <c r="A85" t="s">
        <v>275</v>
      </c>
      <c r="B85" t="s">
        <v>365</v>
      </c>
      <c r="C85">
        <v>21</v>
      </c>
      <c r="D85">
        <v>170</v>
      </c>
      <c r="E85">
        <v>315600</v>
      </c>
      <c r="G85" t="str">
        <f>VLOOKUP(Agrupamento[[#This Row],[Grupo]],Grupos[],2,FALSE)</f>
        <v>Pessoas</v>
      </c>
    </row>
    <row r="86" spans="1:7" x14ac:dyDescent="0.35">
      <c r="A86" t="s">
        <v>275</v>
      </c>
      <c r="B86" t="s">
        <v>366</v>
      </c>
      <c r="C86">
        <v>21</v>
      </c>
      <c r="D86">
        <v>170</v>
      </c>
      <c r="E86">
        <v>315600</v>
      </c>
      <c r="G86" t="str">
        <f>VLOOKUP(Agrupamento[[#This Row],[Grupo]],Grupos[],2,FALSE)</f>
        <v>Pessoas</v>
      </c>
    </row>
    <row r="87" spans="1:7" x14ac:dyDescent="0.35">
      <c r="A87" t="s">
        <v>275</v>
      </c>
      <c r="B87" t="s">
        <v>367</v>
      </c>
      <c r="C87">
        <v>21</v>
      </c>
      <c r="D87">
        <v>170</v>
      </c>
      <c r="E87">
        <v>315600</v>
      </c>
      <c r="G87" t="str">
        <f>VLOOKUP(Agrupamento[[#This Row],[Grupo]],Grupos[],2,FALSE)</f>
        <v>Pessoas</v>
      </c>
    </row>
    <row r="88" spans="1:7" x14ac:dyDescent="0.35">
      <c r="A88" t="s">
        <v>275</v>
      </c>
      <c r="B88" t="s">
        <v>368</v>
      </c>
      <c r="C88">
        <v>34</v>
      </c>
      <c r="D88">
        <v>170</v>
      </c>
      <c r="E88">
        <v>340900</v>
      </c>
      <c r="G88" t="str">
        <f>VLOOKUP(Agrupamento[[#This Row],[Grupo]],Grupos[],2,FALSE)</f>
        <v>Taxas</v>
      </c>
    </row>
    <row r="89" spans="1:7" x14ac:dyDescent="0.35">
      <c r="A89" t="s">
        <v>275</v>
      </c>
      <c r="B89" t="s">
        <v>369</v>
      </c>
      <c r="C89">
        <v>22</v>
      </c>
      <c r="D89">
        <v>140</v>
      </c>
      <c r="E89">
        <v>325300</v>
      </c>
      <c r="G89" t="str">
        <f>VLOOKUP(Agrupamento[[#This Row],[Grupo]],Grupos[],2,FALSE)</f>
        <v>Infraestrutura</v>
      </c>
    </row>
    <row r="90" spans="1:7" x14ac:dyDescent="0.35">
      <c r="A90" t="s">
        <v>275</v>
      </c>
      <c r="B90" t="s">
        <v>370</v>
      </c>
      <c r="C90">
        <v>22</v>
      </c>
      <c r="D90">
        <v>170</v>
      </c>
      <c r="E90">
        <v>320100</v>
      </c>
      <c r="G90" t="str">
        <f>VLOOKUP(Agrupamento[[#This Row],[Grupo]],Grupos[],2,FALSE)</f>
        <v>Infraestrutura</v>
      </c>
    </row>
    <row r="91" spans="1:7" x14ac:dyDescent="0.35">
      <c r="A91" t="s">
        <v>275</v>
      </c>
      <c r="B91" t="s">
        <v>371</v>
      </c>
      <c r="C91">
        <v>22</v>
      </c>
      <c r="D91">
        <v>170</v>
      </c>
      <c r="E91">
        <v>320100</v>
      </c>
      <c r="G91" t="str">
        <f>VLOOKUP(Agrupamento[[#This Row],[Grupo]],Grupos[],2,FALSE)</f>
        <v>Infraestrutura</v>
      </c>
    </row>
    <row r="92" spans="1:7" x14ac:dyDescent="0.35">
      <c r="A92" t="s">
        <v>275</v>
      </c>
      <c r="B92" t="s">
        <v>372</v>
      </c>
      <c r="C92">
        <v>22</v>
      </c>
      <c r="D92">
        <v>170</v>
      </c>
      <c r="E92">
        <v>340200</v>
      </c>
      <c r="G92" t="str">
        <f>VLOOKUP(Agrupamento[[#This Row],[Grupo]],Grupos[],2,FALSE)</f>
        <v>Infraestrutura</v>
      </c>
    </row>
    <row r="93" spans="1:7" x14ac:dyDescent="0.35">
      <c r="A93" t="s">
        <v>275</v>
      </c>
      <c r="B93" t="s">
        <v>419</v>
      </c>
      <c r="C93">
        <v>24</v>
      </c>
      <c r="D93">
        <v>140</v>
      </c>
      <c r="E93">
        <v>340900</v>
      </c>
      <c r="G93" t="str">
        <f>VLOOKUP(Agrupamento[[#This Row],[Grupo]],Grupos[],2,FALSE)</f>
        <v>Manutenção</v>
      </c>
    </row>
    <row r="94" spans="1:7" x14ac:dyDescent="0.35">
      <c r="A94" t="s">
        <v>275</v>
      </c>
      <c r="B94" t="s">
        <v>373</v>
      </c>
      <c r="C94">
        <v>25</v>
      </c>
      <c r="D94">
        <v>170</v>
      </c>
      <c r="E94">
        <v>330100</v>
      </c>
      <c r="G94" t="str">
        <f>VLOOKUP(Agrupamento[[#This Row],[Grupo]],Grupos[],2,FALSE)</f>
        <v>Depreciação</v>
      </c>
    </row>
    <row r="95" spans="1:7" x14ac:dyDescent="0.35">
      <c r="A95" t="s">
        <v>275</v>
      </c>
      <c r="B95" t="s">
        <v>374</v>
      </c>
      <c r="C95">
        <v>22</v>
      </c>
      <c r="D95">
        <v>170</v>
      </c>
      <c r="E95">
        <v>340900</v>
      </c>
      <c r="G95" t="str">
        <f>VLOOKUP(Agrupamento[[#This Row],[Grupo]],Grupos[],2,FALSE)</f>
        <v>Infraestrutura</v>
      </c>
    </row>
    <row r="96" spans="1:7" x14ac:dyDescent="0.35">
      <c r="A96" t="s">
        <v>275</v>
      </c>
      <c r="B96" t="s">
        <v>375</v>
      </c>
      <c r="C96">
        <v>38</v>
      </c>
      <c r="D96">
        <v>170</v>
      </c>
      <c r="E96">
        <v>340900</v>
      </c>
      <c r="G96" t="str">
        <f>VLOOKUP(Agrupamento[[#This Row],[Grupo]],Grupos[],2,FALSE)</f>
        <v>Material de Consumo</v>
      </c>
    </row>
    <row r="97" spans="1:7" x14ac:dyDescent="0.35">
      <c r="A97" t="s">
        <v>275</v>
      </c>
      <c r="B97" t="s">
        <v>376</v>
      </c>
      <c r="C97">
        <v>27</v>
      </c>
      <c r="D97">
        <v>170</v>
      </c>
      <c r="E97">
        <v>340800</v>
      </c>
      <c r="G97" t="str">
        <f>VLOOKUP(Agrupamento[[#This Row],[Grupo]],Grupos[],2,FALSE)</f>
        <v>Viagens</v>
      </c>
    </row>
    <row r="98" spans="1:7" x14ac:dyDescent="0.35">
      <c r="A98" t="s">
        <v>275</v>
      </c>
      <c r="B98" t="s">
        <v>377</v>
      </c>
      <c r="C98">
        <v>28</v>
      </c>
      <c r="D98">
        <v>140</v>
      </c>
      <c r="E98">
        <v>340300</v>
      </c>
      <c r="G98" t="str">
        <f>VLOOKUP(Agrupamento[[#This Row],[Grupo]],Grupos[],2,FALSE)</f>
        <v>Seguros</v>
      </c>
    </row>
    <row r="99" spans="1:7" x14ac:dyDescent="0.35">
      <c r="A99" t="s">
        <v>275</v>
      </c>
      <c r="B99" t="s">
        <v>378</v>
      </c>
      <c r="C99">
        <v>29</v>
      </c>
      <c r="D99">
        <v>140</v>
      </c>
      <c r="E99">
        <v>340900</v>
      </c>
      <c r="G99" t="str">
        <f>VLOOKUP(Agrupamento[[#This Row],[Grupo]],Grupos[],2,FALSE)</f>
        <v>Serviços Terceiros</v>
      </c>
    </row>
    <row r="100" spans="1:7" x14ac:dyDescent="0.35">
      <c r="A100" t="s">
        <v>275</v>
      </c>
      <c r="B100" t="s">
        <v>379</v>
      </c>
      <c r="C100">
        <v>29</v>
      </c>
      <c r="D100">
        <v>170</v>
      </c>
      <c r="E100">
        <v>340400</v>
      </c>
      <c r="G100" t="str">
        <f>VLOOKUP(Agrupamento[[#This Row],[Grupo]],Grupos[],2,FALSE)</f>
        <v>Serviços Terceiros</v>
      </c>
    </row>
    <row r="101" spans="1:7" x14ac:dyDescent="0.35">
      <c r="A101" t="s">
        <v>275</v>
      </c>
      <c r="B101" t="s">
        <v>380</v>
      </c>
      <c r="C101">
        <v>39</v>
      </c>
      <c r="D101">
        <v>140</v>
      </c>
      <c r="E101">
        <v>340900</v>
      </c>
      <c r="G101" t="str">
        <f>VLOOKUP(Agrupamento[[#This Row],[Grupo]],Grupos[],2,FALSE)</f>
        <v>Fretes</v>
      </c>
    </row>
    <row r="102" spans="1:7" x14ac:dyDescent="0.35">
      <c r="A102" t="s">
        <v>275</v>
      </c>
      <c r="B102" t="s">
        <v>417</v>
      </c>
      <c r="C102">
        <v>30</v>
      </c>
      <c r="D102">
        <v>140</v>
      </c>
      <c r="E102">
        <v>340900</v>
      </c>
      <c r="G102" t="str">
        <f>VLOOKUP(Agrupamento[[#This Row],[Grupo]],Grupos[],2,FALSE)</f>
        <v>Transportes</v>
      </c>
    </row>
    <row r="103" spans="1:7" x14ac:dyDescent="0.35">
      <c r="A103" t="s">
        <v>275</v>
      </c>
      <c r="B103" t="s">
        <v>381</v>
      </c>
      <c r="C103">
        <v>30</v>
      </c>
      <c r="D103">
        <v>170</v>
      </c>
      <c r="E103">
        <v>340200</v>
      </c>
      <c r="G103" t="str">
        <f>VLOOKUP(Agrupamento[[#This Row],[Grupo]],Grupos[],2,FALSE)</f>
        <v>Transportes</v>
      </c>
    </row>
    <row r="104" spans="1:7" x14ac:dyDescent="0.35">
      <c r="A104" t="s">
        <v>275</v>
      </c>
      <c r="B104" t="s">
        <v>422</v>
      </c>
      <c r="C104">
        <v>30</v>
      </c>
      <c r="D104">
        <v>170</v>
      </c>
      <c r="E104">
        <v>340900</v>
      </c>
      <c r="G104" t="str">
        <f>VLOOKUP(Agrupamento[[#This Row],[Grupo]],Grupos[],2,FALSE)</f>
        <v>Transportes</v>
      </c>
    </row>
    <row r="105" spans="1:7" x14ac:dyDescent="0.35">
      <c r="A105" t="s">
        <v>275</v>
      </c>
      <c r="B105" t="s">
        <v>382</v>
      </c>
      <c r="C105">
        <v>26</v>
      </c>
      <c r="D105">
        <v>170</v>
      </c>
      <c r="E105">
        <v>340900</v>
      </c>
      <c r="G105" t="str">
        <f>VLOOKUP(Agrupamento[[#This Row],[Grupo]],Grupos[],2,FALSE)</f>
        <v>Diversos</v>
      </c>
    </row>
    <row r="106" spans="1:7" x14ac:dyDescent="0.35">
      <c r="A106" t="s">
        <v>275</v>
      </c>
      <c r="B106" t="s">
        <v>418</v>
      </c>
      <c r="C106">
        <v>24</v>
      </c>
      <c r="D106">
        <v>140</v>
      </c>
      <c r="E106">
        <v>340900</v>
      </c>
      <c r="G106" t="str">
        <f>VLOOKUP(Agrupamento[[#This Row],[Grupo]],Grupos[],2,FALSE)</f>
        <v>Manutenção</v>
      </c>
    </row>
    <row r="107" spans="1:7" x14ac:dyDescent="0.35">
      <c r="A107" t="s">
        <v>275</v>
      </c>
      <c r="B107" t="s">
        <v>383</v>
      </c>
      <c r="C107">
        <v>29</v>
      </c>
      <c r="D107">
        <v>140</v>
      </c>
      <c r="E107">
        <v>340900</v>
      </c>
      <c r="G107" t="str">
        <f>VLOOKUP(Agrupamento[[#This Row],[Grupo]],Grupos[],2,FALSE)</f>
        <v>Serviços Terceiros</v>
      </c>
    </row>
    <row r="108" spans="1:7" x14ac:dyDescent="0.35">
      <c r="A108" t="s">
        <v>275</v>
      </c>
      <c r="B108" t="s">
        <v>549</v>
      </c>
      <c r="C108">
        <v>29</v>
      </c>
      <c r="D108">
        <v>140</v>
      </c>
      <c r="E108">
        <v>340900</v>
      </c>
      <c r="G108" t="str">
        <f>VLOOKUP(Agrupamento[[#This Row],[Grupo]],Grupos[],2,FALSE)</f>
        <v>Serviços Terceiros</v>
      </c>
    </row>
    <row r="109" spans="1:7" x14ac:dyDescent="0.35">
      <c r="A109" t="s">
        <v>275</v>
      </c>
      <c r="B109" t="s">
        <v>550</v>
      </c>
      <c r="C109">
        <v>22</v>
      </c>
      <c r="D109">
        <v>140</v>
      </c>
      <c r="E109">
        <v>340900</v>
      </c>
      <c r="G109" t="str">
        <f>VLOOKUP(Agrupamento[[#This Row],[Grupo]],Grupos[],2,FALSE)</f>
        <v>Infraestrutura</v>
      </c>
    </row>
    <row r="110" spans="1:7" x14ac:dyDescent="0.35">
      <c r="A110" t="s">
        <v>275</v>
      </c>
      <c r="B110" t="s">
        <v>384</v>
      </c>
      <c r="C110">
        <v>21</v>
      </c>
      <c r="D110">
        <v>132</v>
      </c>
      <c r="E110">
        <v>343000</v>
      </c>
      <c r="G110" t="str">
        <f>VLOOKUP(Agrupamento[[#This Row],[Grupo]],Grupos[],2,FALSE)</f>
        <v>Pessoas</v>
      </c>
    </row>
    <row r="111" spans="1:7" x14ac:dyDescent="0.35">
      <c r="A111" t="s">
        <v>275</v>
      </c>
      <c r="B111" t="s">
        <v>385</v>
      </c>
      <c r="C111">
        <v>21</v>
      </c>
      <c r="D111">
        <v>132</v>
      </c>
      <c r="E111">
        <v>343000</v>
      </c>
      <c r="G111" t="str">
        <f>VLOOKUP(Agrupamento[[#This Row],[Grupo]],Grupos[],2,FALSE)</f>
        <v>Pessoas</v>
      </c>
    </row>
    <row r="112" spans="1:7" x14ac:dyDescent="0.35">
      <c r="A112" t="s">
        <v>275</v>
      </c>
      <c r="B112" t="s">
        <v>386</v>
      </c>
      <c r="C112">
        <v>21</v>
      </c>
      <c r="D112">
        <v>132</v>
      </c>
      <c r="E112">
        <v>343000</v>
      </c>
      <c r="G112" t="str">
        <f>VLOOKUP(Agrupamento[[#This Row],[Grupo]],Grupos[],2,FALSE)</f>
        <v>Pessoas</v>
      </c>
    </row>
    <row r="113" spans="1:7" x14ac:dyDescent="0.35">
      <c r="A113" t="s">
        <v>275</v>
      </c>
      <c r="B113" t="s">
        <v>387</v>
      </c>
      <c r="C113">
        <v>21</v>
      </c>
      <c r="D113">
        <v>132</v>
      </c>
      <c r="E113">
        <v>343000</v>
      </c>
      <c r="G113" t="str">
        <f>VLOOKUP(Agrupamento[[#This Row],[Grupo]],Grupos[],2,FALSE)</f>
        <v>Pessoas</v>
      </c>
    </row>
    <row r="114" spans="1:7" x14ac:dyDescent="0.35">
      <c r="A114" t="s">
        <v>275</v>
      </c>
      <c r="B114" t="s">
        <v>388</v>
      </c>
      <c r="C114">
        <v>21</v>
      </c>
      <c r="D114">
        <v>132</v>
      </c>
      <c r="E114">
        <v>343000</v>
      </c>
      <c r="G114" t="str">
        <f>VLOOKUP(Agrupamento[[#This Row],[Grupo]],Grupos[],2,FALSE)</f>
        <v>Pessoas</v>
      </c>
    </row>
    <row r="115" spans="1:7" x14ac:dyDescent="0.35">
      <c r="A115" t="s">
        <v>275</v>
      </c>
      <c r="B115" t="s">
        <v>389</v>
      </c>
      <c r="C115">
        <v>21</v>
      </c>
      <c r="D115">
        <v>132</v>
      </c>
      <c r="E115">
        <v>343000</v>
      </c>
      <c r="G115" t="str">
        <f>VLOOKUP(Agrupamento[[#This Row],[Grupo]],Grupos[],2,FALSE)</f>
        <v>Pessoas</v>
      </c>
    </row>
    <row r="116" spans="1:7" x14ac:dyDescent="0.35">
      <c r="A116" t="s">
        <v>275</v>
      </c>
      <c r="B116" t="s">
        <v>390</v>
      </c>
      <c r="C116">
        <v>21</v>
      </c>
      <c r="D116">
        <v>132</v>
      </c>
      <c r="E116">
        <v>343000</v>
      </c>
      <c r="G116" t="str">
        <f>VLOOKUP(Agrupamento[[#This Row],[Grupo]],Grupos[],2,FALSE)</f>
        <v>Pessoas</v>
      </c>
    </row>
    <row r="117" spans="1:7" x14ac:dyDescent="0.35">
      <c r="A117" t="s">
        <v>275</v>
      </c>
      <c r="B117" t="s">
        <v>391</v>
      </c>
      <c r="C117">
        <v>21</v>
      </c>
      <c r="D117">
        <v>132</v>
      </c>
      <c r="E117">
        <v>343000</v>
      </c>
      <c r="G117" t="str">
        <f>VLOOKUP(Agrupamento[[#This Row],[Grupo]],Grupos[],2,FALSE)</f>
        <v>Pessoas</v>
      </c>
    </row>
    <row r="118" spans="1:7" x14ac:dyDescent="0.35">
      <c r="A118" s="13" t="s">
        <v>275</v>
      </c>
      <c r="B118" s="1">
        <v>45040100011</v>
      </c>
      <c r="C118" s="13">
        <v>34</v>
      </c>
      <c r="D118" s="13">
        <v>132</v>
      </c>
      <c r="E118" s="13">
        <v>343000</v>
      </c>
      <c r="G118" t="str">
        <f>VLOOKUP(Agrupamento[[#This Row],[Grupo]],Grupos[],2,FALSE)</f>
        <v>Taxas</v>
      </c>
    </row>
    <row r="119" spans="1:7" x14ac:dyDescent="0.35">
      <c r="A119" t="s">
        <v>275</v>
      </c>
      <c r="B119" t="s">
        <v>392</v>
      </c>
      <c r="C119">
        <v>22</v>
      </c>
      <c r="D119">
        <v>132</v>
      </c>
      <c r="E119">
        <v>343000</v>
      </c>
      <c r="G119" t="str">
        <f>VLOOKUP(Agrupamento[[#This Row],[Grupo]],Grupos[],2,FALSE)</f>
        <v>Infraestrutura</v>
      </c>
    </row>
    <row r="120" spans="1:7" x14ac:dyDescent="0.35">
      <c r="A120" t="s">
        <v>275</v>
      </c>
      <c r="B120" t="s">
        <v>393</v>
      </c>
      <c r="C120">
        <v>22</v>
      </c>
      <c r="D120">
        <v>132</v>
      </c>
      <c r="E120">
        <v>343000</v>
      </c>
      <c r="G120" t="str">
        <f>VLOOKUP(Agrupamento[[#This Row],[Grupo]],Grupos[],2,FALSE)</f>
        <v>Infraestrutura</v>
      </c>
    </row>
    <row r="121" spans="1:7" x14ac:dyDescent="0.35">
      <c r="A121" t="s">
        <v>275</v>
      </c>
      <c r="B121" t="s">
        <v>414</v>
      </c>
      <c r="C121">
        <v>38</v>
      </c>
      <c r="D121">
        <v>132</v>
      </c>
      <c r="E121">
        <v>343000</v>
      </c>
      <c r="G121" t="str">
        <f>VLOOKUP(Agrupamento[[#This Row],[Grupo]],Grupos[],2,FALSE)</f>
        <v>Material de Consumo</v>
      </c>
    </row>
    <row r="122" spans="1:7" x14ac:dyDescent="0.35">
      <c r="A122" t="s">
        <v>275</v>
      </c>
      <c r="B122" t="s">
        <v>394</v>
      </c>
      <c r="C122">
        <v>29</v>
      </c>
      <c r="D122">
        <v>132</v>
      </c>
      <c r="E122">
        <v>343000</v>
      </c>
      <c r="G122" t="str">
        <f>VLOOKUP(Agrupamento[[#This Row],[Grupo]],Grupos[],2,FALSE)</f>
        <v>Serviços Terceiros</v>
      </c>
    </row>
    <row r="123" spans="1:7" x14ac:dyDescent="0.35">
      <c r="A123" t="s">
        <v>275</v>
      </c>
      <c r="B123" t="s">
        <v>413</v>
      </c>
      <c r="C123">
        <v>32</v>
      </c>
      <c r="D123">
        <v>132</v>
      </c>
      <c r="E123">
        <v>343000</v>
      </c>
      <c r="G123" t="str">
        <f>VLOOKUP(Agrupamento[[#This Row],[Grupo]],Grupos[],2,FALSE)</f>
        <v>MarkCom</v>
      </c>
    </row>
    <row r="124" spans="1:7" x14ac:dyDescent="0.35">
      <c r="A124" t="s">
        <v>275</v>
      </c>
      <c r="B124" t="s">
        <v>416</v>
      </c>
      <c r="C124">
        <v>32</v>
      </c>
      <c r="D124">
        <v>132</v>
      </c>
      <c r="E124">
        <v>343000</v>
      </c>
      <c r="G124" t="str">
        <f>VLOOKUP(Agrupamento[[#This Row],[Grupo]],Grupos[],2,FALSE)</f>
        <v>MarkCom</v>
      </c>
    </row>
    <row r="125" spans="1:7" x14ac:dyDescent="0.35">
      <c r="A125" t="s">
        <v>275</v>
      </c>
      <c r="B125" t="s">
        <v>395</v>
      </c>
      <c r="C125">
        <v>26</v>
      </c>
      <c r="D125">
        <v>132</v>
      </c>
      <c r="E125">
        <v>343000</v>
      </c>
      <c r="G125" t="str">
        <f>VLOOKUP(Agrupamento[[#This Row],[Grupo]],Grupos[],2,FALSE)</f>
        <v>Diversos</v>
      </c>
    </row>
    <row r="126" spans="1:7" x14ac:dyDescent="0.35">
      <c r="A126" t="s">
        <v>275</v>
      </c>
      <c r="B126" t="s">
        <v>551</v>
      </c>
      <c r="C126">
        <v>22</v>
      </c>
      <c r="D126">
        <v>132</v>
      </c>
      <c r="E126">
        <v>343000</v>
      </c>
      <c r="G126" t="str">
        <f>VLOOKUP(Agrupamento[[#This Row],[Grupo]],Grupos[],2,FALSE)</f>
        <v>Infraestrutura</v>
      </c>
    </row>
    <row r="127" spans="1:7" x14ac:dyDescent="0.35">
      <c r="A127" t="s">
        <v>275</v>
      </c>
      <c r="B127" t="s">
        <v>396</v>
      </c>
      <c r="C127">
        <v>33</v>
      </c>
      <c r="D127">
        <v>490</v>
      </c>
      <c r="E127">
        <v>365200</v>
      </c>
      <c r="G127" s="13" t="str">
        <f>VLOOKUP(Agrupamento[[#This Row],[Grupo]],Grupos[],2,FALSE)</f>
        <v>Aquisições</v>
      </c>
    </row>
    <row r="128" spans="1:7" x14ac:dyDescent="0.35">
      <c r="A128" t="s">
        <v>275</v>
      </c>
      <c r="B128" t="s">
        <v>397</v>
      </c>
      <c r="C128">
        <v>34</v>
      </c>
      <c r="D128">
        <v>140</v>
      </c>
      <c r="E128">
        <v>340900</v>
      </c>
      <c r="G128" s="13" t="str">
        <f>VLOOKUP(Agrupamento[[#This Row],[Grupo]],Grupos[],2,FALSE)</f>
        <v>Taxas</v>
      </c>
    </row>
    <row r="129" spans="1:7" x14ac:dyDescent="0.35">
      <c r="A129" t="s">
        <v>275</v>
      </c>
      <c r="B129" t="s">
        <v>398</v>
      </c>
      <c r="C129">
        <v>35</v>
      </c>
      <c r="D129">
        <v>140</v>
      </c>
      <c r="E129">
        <v>340900</v>
      </c>
      <c r="G129" s="13" t="str">
        <f>VLOOKUP(Agrupamento[[#This Row],[Grupo]],Grupos[],2,FALSE)</f>
        <v>Impostos</v>
      </c>
    </row>
    <row r="130" spans="1:7" x14ac:dyDescent="0.35">
      <c r="A130" t="s">
        <v>275</v>
      </c>
      <c r="B130" t="s">
        <v>399</v>
      </c>
      <c r="C130">
        <v>36</v>
      </c>
      <c r="D130">
        <v>336</v>
      </c>
      <c r="E130">
        <v>355200</v>
      </c>
      <c r="G130" s="13" t="str">
        <f>VLOOKUP(Agrupamento[[#This Row],[Grupo]],Grupos[],2,FALSE)</f>
        <v>Resultado Financeiro</v>
      </c>
    </row>
    <row r="131" spans="1:7" x14ac:dyDescent="0.35">
      <c r="A131" t="s">
        <v>275</v>
      </c>
      <c r="B131" t="s">
        <v>400</v>
      </c>
      <c r="C131">
        <v>36</v>
      </c>
      <c r="D131">
        <v>336</v>
      </c>
      <c r="E131">
        <v>355200</v>
      </c>
      <c r="G131" s="13" t="str">
        <f>VLOOKUP(Agrupamento[[#This Row],[Grupo]],Grupos[],2,FALSE)</f>
        <v>Resultado Financeiro</v>
      </c>
    </row>
    <row r="132" spans="1:7" x14ac:dyDescent="0.35">
      <c r="A132" t="s">
        <v>275</v>
      </c>
      <c r="B132" t="s">
        <v>401</v>
      </c>
      <c r="C132">
        <v>36</v>
      </c>
      <c r="D132">
        <v>335</v>
      </c>
      <c r="E132">
        <v>355100</v>
      </c>
      <c r="G132" s="13" t="str">
        <f>VLOOKUP(Agrupamento[[#This Row],[Grupo]],Grupos[],2,FALSE)</f>
        <v>Resultado Financeiro</v>
      </c>
    </row>
    <row r="133" spans="1:7" x14ac:dyDescent="0.35">
      <c r="A133" t="s">
        <v>275</v>
      </c>
      <c r="B133" t="s">
        <v>402</v>
      </c>
      <c r="C133">
        <v>41</v>
      </c>
      <c r="D133">
        <v>110</v>
      </c>
      <c r="E133">
        <v>311250</v>
      </c>
      <c r="G133" s="13" t="str">
        <f>VLOOKUP(Agrupamento[[#This Row],[Grupo]],Grupos[],2,FALSE)</f>
        <v>Variação Monetária</v>
      </c>
    </row>
    <row r="134" spans="1:7" x14ac:dyDescent="0.35">
      <c r="A134" t="s">
        <v>275</v>
      </c>
      <c r="B134" t="s">
        <v>403</v>
      </c>
      <c r="C134">
        <v>36</v>
      </c>
      <c r="D134">
        <v>336</v>
      </c>
      <c r="E134">
        <v>355200</v>
      </c>
      <c r="G134" s="13" t="str">
        <f>VLOOKUP(Agrupamento[[#This Row],[Grupo]],Grupos[],2,FALSE)</f>
        <v>Resultado Financeiro</v>
      </c>
    </row>
    <row r="135" spans="1:7" x14ac:dyDescent="0.35">
      <c r="A135" t="s">
        <v>275</v>
      </c>
      <c r="B135" t="s">
        <v>404</v>
      </c>
      <c r="C135">
        <v>36</v>
      </c>
      <c r="G135" s="13" t="str">
        <f>VLOOKUP(Agrupamento[[#This Row],[Grupo]],Grupos[],2,FALSE)</f>
        <v>Resultado Financeiro</v>
      </c>
    </row>
    <row r="136" spans="1:7" x14ac:dyDescent="0.35">
      <c r="A136" t="s">
        <v>275</v>
      </c>
      <c r="B136" t="s">
        <v>405</v>
      </c>
      <c r="C136">
        <v>36</v>
      </c>
      <c r="D136">
        <v>331</v>
      </c>
      <c r="E136">
        <v>355600</v>
      </c>
      <c r="G136" s="13" t="str">
        <f>VLOOKUP(Agrupamento[[#This Row],[Grupo]],Grupos[],2,FALSE)</f>
        <v>Resultado Financeiro</v>
      </c>
    </row>
    <row r="137" spans="1:7" x14ac:dyDescent="0.35">
      <c r="A137" t="s">
        <v>275</v>
      </c>
      <c r="B137" t="s">
        <v>406</v>
      </c>
      <c r="C137">
        <v>36</v>
      </c>
      <c r="D137">
        <v>331</v>
      </c>
      <c r="E137">
        <v>355600</v>
      </c>
      <c r="G137" s="13" t="str">
        <f>VLOOKUP(Agrupamento[[#This Row],[Grupo]],Grupos[],2,FALSE)</f>
        <v>Resultado Financeiro</v>
      </c>
    </row>
    <row r="138" spans="1:7" x14ac:dyDescent="0.35">
      <c r="A138" t="s">
        <v>275</v>
      </c>
      <c r="B138" t="s">
        <v>407</v>
      </c>
      <c r="C138">
        <v>36</v>
      </c>
      <c r="D138">
        <v>330</v>
      </c>
      <c r="E138">
        <v>355500</v>
      </c>
      <c r="G138" s="13" t="str">
        <f>VLOOKUP(Agrupamento[[#This Row],[Grupo]],Grupos[],2,FALSE)</f>
        <v>Resultado Financeiro</v>
      </c>
    </row>
    <row r="139" spans="1:7" x14ac:dyDescent="0.35">
      <c r="A139" t="s">
        <v>275</v>
      </c>
      <c r="B139" t="s">
        <v>408</v>
      </c>
      <c r="C139">
        <v>41</v>
      </c>
      <c r="D139">
        <v>115</v>
      </c>
      <c r="E139">
        <v>311200</v>
      </c>
      <c r="G139" s="13" t="str">
        <f>VLOOKUP(Agrupamento[[#This Row],[Grupo]],Grupos[],2,FALSE)</f>
        <v>Variação Monetária</v>
      </c>
    </row>
    <row r="140" spans="1:7" x14ac:dyDescent="0.35">
      <c r="A140" t="s">
        <v>275</v>
      </c>
      <c r="B140" t="s">
        <v>409</v>
      </c>
      <c r="C140">
        <v>36</v>
      </c>
      <c r="D140">
        <v>330</v>
      </c>
      <c r="E140">
        <v>355500</v>
      </c>
      <c r="G140" s="13" t="str">
        <f>VLOOKUP(Agrupamento[[#This Row],[Grupo]],Grupos[],2,FALSE)</f>
        <v>Resultado Financeiro</v>
      </c>
    </row>
    <row r="141" spans="1:7" x14ac:dyDescent="0.35">
      <c r="A141" t="s">
        <v>275</v>
      </c>
      <c r="B141" t="s">
        <v>410</v>
      </c>
      <c r="C141">
        <v>37</v>
      </c>
      <c r="D141">
        <v>140</v>
      </c>
      <c r="E141">
        <v>340900</v>
      </c>
      <c r="G141" s="13" t="str">
        <f>VLOOKUP(Agrupamento[[#This Row],[Grupo]],Grupos[],2,FALSE)</f>
        <v>Perdas</v>
      </c>
    </row>
    <row r="142" spans="1:7" x14ac:dyDescent="0.35">
      <c r="A142" t="s">
        <v>275</v>
      </c>
      <c r="B142" t="s">
        <v>411</v>
      </c>
      <c r="C142">
        <v>35</v>
      </c>
      <c r="G142" s="13" t="str">
        <f>VLOOKUP(Agrupamento[[#This Row],[Grupo]],Grupos[],2,FALSE)</f>
        <v>Impostos</v>
      </c>
    </row>
    <row r="143" spans="1:7" x14ac:dyDescent="0.35">
      <c r="A143" t="s">
        <v>275</v>
      </c>
      <c r="B143" t="s">
        <v>412</v>
      </c>
      <c r="C143">
        <v>35</v>
      </c>
      <c r="G143" s="13" t="str">
        <f>VLOOKUP(Agrupamento[[#This Row],[Grupo]],Grupos[],2,FALSE)</f>
        <v>Impostos</v>
      </c>
    </row>
    <row r="144" spans="1:7" x14ac:dyDescent="0.35">
      <c r="A144" t="s">
        <v>541</v>
      </c>
      <c r="B144" s="1" t="s">
        <v>333</v>
      </c>
      <c r="D144">
        <v>20</v>
      </c>
      <c r="E144">
        <v>305100</v>
      </c>
      <c r="G144" s="13"/>
    </row>
    <row r="145" spans="1:7" x14ac:dyDescent="0.35">
      <c r="A145" t="s">
        <v>541</v>
      </c>
      <c r="B145" s="1" t="s">
        <v>334</v>
      </c>
      <c r="D145">
        <v>20</v>
      </c>
      <c r="E145">
        <v>305100</v>
      </c>
      <c r="G145" s="13"/>
    </row>
    <row r="146" spans="1:7" x14ac:dyDescent="0.35">
      <c r="A146" t="s">
        <v>541</v>
      </c>
      <c r="B146" s="1" t="s">
        <v>335</v>
      </c>
      <c r="D146">
        <v>20</v>
      </c>
      <c r="E146">
        <v>305100</v>
      </c>
      <c r="G146" s="13"/>
    </row>
    <row r="147" spans="1:7" x14ac:dyDescent="0.35">
      <c r="A147" t="s">
        <v>541</v>
      </c>
      <c r="B147" s="1" t="s">
        <v>336</v>
      </c>
      <c r="D147">
        <v>20</v>
      </c>
      <c r="E147">
        <v>305100</v>
      </c>
      <c r="G147" s="13"/>
    </row>
    <row r="148" spans="1:7" x14ac:dyDescent="0.35">
      <c r="A148" t="s">
        <v>541</v>
      </c>
      <c r="B148" s="1" t="s">
        <v>337</v>
      </c>
      <c r="D148">
        <v>20</v>
      </c>
      <c r="E148">
        <v>305100</v>
      </c>
      <c r="G148" s="13"/>
    </row>
    <row r="149" spans="1:7" x14ac:dyDescent="0.35">
      <c r="A149" t="s">
        <v>541</v>
      </c>
      <c r="B149" s="1" t="s">
        <v>338</v>
      </c>
      <c r="D149">
        <v>20</v>
      </c>
      <c r="E149">
        <v>305100</v>
      </c>
      <c r="G149" s="13"/>
    </row>
    <row r="150" spans="1:7" x14ac:dyDescent="0.35">
      <c r="A150" t="s">
        <v>541</v>
      </c>
      <c r="B150" s="1" t="s">
        <v>339</v>
      </c>
      <c r="D150">
        <v>20</v>
      </c>
      <c r="E150">
        <v>305100</v>
      </c>
      <c r="G150" s="13"/>
    </row>
    <row r="151" spans="1:7" x14ac:dyDescent="0.35">
      <c r="A151" t="s">
        <v>541</v>
      </c>
      <c r="B151" s="1" t="s">
        <v>340</v>
      </c>
      <c r="D151">
        <v>20</v>
      </c>
      <c r="E151">
        <v>305100</v>
      </c>
      <c r="G151" s="13"/>
    </row>
    <row r="152" spans="1:7" x14ac:dyDescent="0.35">
      <c r="A152" t="s">
        <v>541</v>
      </c>
      <c r="B152" s="1" t="s">
        <v>342</v>
      </c>
      <c r="D152">
        <v>20</v>
      </c>
      <c r="E152">
        <v>305100</v>
      </c>
      <c r="G152" s="13"/>
    </row>
    <row r="153" spans="1:7" x14ac:dyDescent="0.35">
      <c r="A153" t="s">
        <v>541</v>
      </c>
      <c r="B153" s="1" t="s">
        <v>344</v>
      </c>
      <c r="D153">
        <v>20</v>
      </c>
      <c r="E153">
        <v>305100</v>
      </c>
      <c r="G153" s="13"/>
    </row>
    <row r="154" spans="1:7" x14ac:dyDescent="0.35">
      <c r="A154" t="s">
        <v>541</v>
      </c>
      <c r="B154" s="1" t="s">
        <v>345</v>
      </c>
      <c r="D154">
        <v>20</v>
      </c>
      <c r="E154">
        <v>305100</v>
      </c>
      <c r="G154" s="13"/>
    </row>
    <row r="155" spans="1:7" x14ac:dyDescent="0.35">
      <c r="A155" t="s">
        <v>541</v>
      </c>
      <c r="B155" s="1" t="s">
        <v>346</v>
      </c>
      <c r="D155">
        <v>20</v>
      </c>
      <c r="E155">
        <v>305100</v>
      </c>
      <c r="G155" s="13"/>
    </row>
    <row r="156" spans="1:7" x14ac:dyDescent="0.35">
      <c r="A156" t="s">
        <v>541</v>
      </c>
      <c r="B156" s="1" t="s">
        <v>348</v>
      </c>
      <c r="D156">
        <v>20</v>
      </c>
      <c r="E156">
        <v>305100</v>
      </c>
      <c r="G156" s="13"/>
    </row>
    <row r="157" spans="1:7" x14ac:dyDescent="0.35">
      <c r="A157" t="s">
        <v>541</v>
      </c>
      <c r="B157" s="1" t="s">
        <v>350</v>
      </c>
      <c r="D157">
        <v>20</v>
      </c>
      <c r="E157">
        <v>305100</v>
      </c>
      <c r="G157" s="13"/>
    </row>
    <row r="158" spans="1:7" x14ac:dyDescent="0.35">
      <c r="A158" t="s">
        <v>541</v>
      </c>
      <c r="B158" s="1" t="s">
        <v>351</v>
      </c>
      <c r="D158">
        <v>20</v>
      </c>
      <c r="E158">
        <v>305100</v>
      </c>
      <c r="G158" s="13"/>
    </row>
    <row r="159" spans="1:7" x14ac:dyDescent="0.35">
      <c r="A159" t="s">
        <v>541</v>
      </c>
      <c r="B159" s="1" t="s">
        <v>352</v>
      </c>
      <c r="D159">
        <v>20</v>
      </c>
      <c r="E159">
        <v>305100</v>
      </c>
      <c r="G159" s="13"/>
    </row>
    <row r="160" spans="1:7" x14ac:dyDescent="0.35">
      <c r="A160" t="s">
        <v>541</v>
      </c>
      <c r="B160" s="1" t="s">
        <v>353</v>
      </c>
      <c r="D160">
        <v>20</v>
      </c>
      <c r="E160">
        <v>305100</v>
      </c>
      <c r="G160" s="13"/>
    </row>
    <row r="161" spans="1:7" x14ac:dyDescent="0.35">
      <c r="A161" t="s">
        <v>541</v>
      </c>
      <c r="B161" s="1" t="s">
        <v>354</v>
      </c>
      <c r="D161">
        <v>20</v>
      </c>
      <c r="E161">
        <v>305100</v>
      </c>
      <c r="G161" s="13"/>
    </row>
    <row r="162" spans="1:7" x14ac:dyDescent="0.35">
      <c r="A162" t="s">
        <v>541</v>
      </c>
      <c r="B162" s="1" t="s">
        <v>355</v>
      </c>
      <c r="D162">
        <v>20</v>
      </c>
      <c r="E162">
        <v>305100</v>
      </c>
      <c r="G162" s="13"/>
    </row>
    <row r="163" spans="1:7" x14ac:dyDescent="0.35">
      <c r="A163" t="s">
        <v>541</v>
      </c>
      <c r="B163" s="1" t="s">
        <v>358</v>
      </c>
      <c r="D163">
        <v>20</v>
      </c>
      <c r="E163">
        <v>305100</v>
      </c>
      <c r="G163" s="13"/>
    </row>
    <row r="164" spans="1:7" x14ac:dyDescent="0.35">
      <c r="A164" t="s">
        <v>542</v>
      </c>
      <c r="B164" s="1" t="s">
        <v>352</v>
      </c>
      <c r="D164">
        <v>140</v>
      </c>
      <c r="E164">
        <v>340800</v>
      </c>
      <c r="G164" s="13"/>
    </row>
    <row r="165" spans="1:7" x14ac:dyDescent="0.35">
      <c r="A165" t="s">
        <v>542</v>
      </c>
      <c r="B165" s="1" t="s">
        <v>353</v>
      </c>
      <c r="D165">
        <v>140</v>
      </c>
      <c r="E165">
        <v>340300</v>
      </c>
      <c r="G165" s="13"/>
    </row>
    <row r="166" spans="1:7" x14ac:dyDescent="0.35">
      <c r="A166" t="s">
        <v>542</v>
      </c>
      <c r="B166" s="1" t="s">
        <v>358</v>
      </c>
      <c r="D166">
        <v>140</v>
      </c>
      <c r="E166">
        <v>340900</v>
      </c>
      <c r="G166" s="13"/>
    </row>
    <row r="167" spans="1:7" x14ac:dyDescent="0.35">
      <c r="A167" t="s">
        <v>275</v>
      </c>
      <c r="B167" s="1" t="s">
        <v>552</v>
      </c>
      <c r="C167">
        <v>29</v>
      </c>
      <c r="D167">
        <v>170</v>
      </c>
      <c r="E167">
        <v>340400</v>
      </c>
      <c r="G167" s="13" t="str">
        <f>VLOOKUP(Agrupamento[[#This Row],[Grupo]],Grupos[],2,FALSE)</f>
        <v>Serviços Terceiros</v>
      </c>
    </row>
    <row r="168" spans="1:7" x14ac:dyDescent="0.35">
      <c r="A168" t="s">
        <v>275</v>
      </c>
      <c r="B168" t="s">
        <v>553</v>
      </c>
      <c r="C168">
        <v>39</v>
      </c>
      <c r="D168">
        <v>140</v>
      </c>
      <c r="E168">
        <v>340900</v>
      </c>
      <c r="G168" s="13" t="str">
        <f>VLOOKUP(Agrupamento[[#This Row],[Grupo]],Grupos[],2,FALSE)</f>
        <v>Fretes</v>
      </c>
    </row>
    <row r="169" spans="1:7" x14ac:dyDescent="0.35">
      <c r="A169" t="s">
        <v>275</v>
      </c>
      <c r="B169" s="1" t="s">
        <v>554</v>
      </c>
      <c r="C169">
        <v>34</v>
      </c>
      <c r="D169">
        <v>140</v>
      </c>
      <c r="E169">
        <v>340400</v>
      </c>
      <c r="G169" s="13" t="str">
        <f>VLOOKUP(Agrupamento[[#This Row],[Grupo]],Grupos[],2,FALSE)</f>
        <v>Taxas</v>
      </c>
    </row>
    <row r="170" spans="1:7" x14ac:dyDescent="0.35">
      <c r="A170" t="s">
        <v>275</v>
      </c>
      <c r="B170" s="9" t="s">
        <v>1060</v>
      </c>
      <c r="C170">
        <v>38</v>
      </c>
      <c r="D170">
        <v>140</v>
      </c>
      <c r="E170">
        <v>325200</v>
      </c>
      <c r="G170" s="13" t="str">
        <f>VLOOKUP(Agrupamento[[#This Row],[Grupo]],Grupos[],2,FALSE)</f>
        <v>Material de Consumo</v>
      </c>
    </row>
    <row r="171" spans="1:7" x14ac:dyDescent="0.35">
      <c r="A171" t="s">
        <v>275</v>
      </c>
      <c r="B171" s="1" t="s">
        <v>1092</v>
      </c>
      <c r="C171">
        <v>27</v>
      </c>
      <c r="E171" s="13">
        <v>340800</v>
      </c>
      <c r="G171" s="13" t="str">
        <f>VLOOKUP(Agrupamento[[#This Row],[Grupo]],Grupos[],2,FALSE)</f>
        <v>Viagens</v>
      </c>
    </row>
    <row r="172" spans="1:7" x14ac:dyDescent="0.35">
      <c r="A172" s="13" t="s">
        <v>275</v>
      </c>
      <c r="B172" s="9" t="s">
        <v>1109</v>
      </c>
      <c r="C172">
        <v>23</v>
      </c>
      <c r="G172" s="13" t="str">
        <f>VLOOKUP(Agrupamento[[#This Row],[Grupo]],Grupos[],2,FALSE)</f>
        <v>Outros</v>
      </c>
    </row>
    <row r="173" spans="1:7" x14ac:dyDescent="0.35">
      <c r="A173" s="13" t="s">
        <v>275</v>
      </c>
      <c r="B173" s="9" t="s">
        <v>1110</v>
      </c>
      <c r="C173">
        <v>37</v>
      </c>
      <c r="G173" s="13" t="str">
        <f>VLOOKUP(Agrupamento[[#This Row],[Grupo]],Grupos[],2,FALSE)</f>
        <v>Perdas</v>
      </c>
    </row>
    <row r="174" spans="1:7" x14ac:dyDescent="0.35">
      <c r="A174" s="13" t="s">
        <v>275</v>
      </c>
      <c r="B174" s="9" t="s">
        <v>1111</v>
      </c>
      <c r="C174">
        <v>22</v>
      </c>
      <c r="G174" s="13" t="str">
        <f>VLOOKUP(Agrupamento[[#This Row],[Grupo]],Grupos[],2,FALSE)</f>
        <v>Infraestrutura</v>
      </c>
    </row>
    <row r="175" spans="1:7" x14ac:dyDescent="0.35">
      <c r="A175" s="13" t="s">
        <v>275</v>
      </c>
      <c r="B175" s="9" t="s">
        <v>1112</v>
      </c>
      <c r="C175">
        <v>23</v>
      </c>
      <c r="G175" s="13" t="str">
        <f>VLOOKUP(Agrupamento[[#This Row],[Grupo]],Grupos[],2,FALSE)</f>
        <v>Outros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4"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8"/>
  <dimension ref="B1:M52"/>
  <sheetViews>
    <sheetView workbookViewId="0">
      <selection activeCell="K2" sqref="K2"/>
    </sheetView>
  </sheetViews>
  <sheetFormatPr defaultRowHeight="14.5" x14ac:dyDescent="0.35"/>
  <cols>
    <col min="2" max="2" width="30.54296875" bestFit="1" customWidth="1"/>
    <col min="6" max="6" width="10.81640625" bestFit="1" customWidth="1"/>
    <col min="12" max="12" width="28.1796875" bestFit="1" customWidth="1"/>
  </cols>
  <sheetData>
    <row r="1" spans="2:13" x14ac:dyDescent="0.35">
      <c r="B1" s="3" t="s">
        <v>3</v>
      </c>
      <c r="C1" s="3"/>
      <c r="D1" s="3"/>
      <c r="E1" s="3"/>
      <c r="F1" s="3"/>
      <c r="K1" t="s">
        <v>468</v>
      </c>
    </row>
    <row r="2" spans="2:13" x14ac:dyDescent="0.35">
      <c r="B2" t="s">
        <v>460</v>
      </c>
      <c r="C2">
        <v>343000</v>
      </c>
      <c r="D2">
        <v>132</v>
      </c>
      <c r="F2" t="s">
        <v>434</v>
      </c>
      <c r="K2" s="4">
        <v>310100</v>
      </c>
      <c r="L2" s="4" t="s">
        <v>461</v>
      </c>
      <c r="M2" t="s">
        <v>485</v>
      </c>
    </row>
    <row r="3" spans="2:13" x14ac:dyDescent="0.35">
      <c r="K3">
        <v>315100</v>
      </c>
      <c r="L3" t="s">
        <v>446</v>
      </c>
    </row>
    <row r="4" spans="2:13" x14ac:dyDescent="0.35">
      <c r="B4" s="3" t="s">
        <v>457</v>
      </c>
      <c r="C4" s="3"/>
      <c r="D4" s="3"/>
      <c r="E4" s="3"/>
      <c r="F4" s="3"/>
      <c r="K4">
        <v>315600</v>
      </c>
      <c r="L4" t="s">
        <v>467</v>
      </c>
    </row>
    <row r="5" spans="2:13" x14ac:dyDescent="0.35">
      <c r="B5" t="s">
        <v>446</v>
      </c>
      <c r="C5">
        <v>315100</v>
      </c>
      <c r="D5">
        <v>140</v>
      </c>
      <c r="F5" t="s">
        <v>434</v>
      </c>
      <c r="K5">
        <v>320100</v>
      </c>
      <c r="L5" t="s">
        <v>466</v>
      </c>
    </row>
    <row r="6" spans="2:13" x14ac:dyDescent="0.35">
      <c r="B6" t="s">
        <v>454</v>
      </c>
      <c r="C6">
        <v>315400</v>
      </c>
      <c r="D6">
        <v>140</v>
      </c>
      <c r="F6" t="s">
        <v>434</v>
      </c>
      <c r="K6">
        <v>330100</v>
      </c>
      <c r="L6" t="s">
        <v>465</v>
      </c>
    </row>
    <row r="7" spans="2:13" x14ac:dyDescent="0.35">
      <c r="B7" t="s">
        <v>445</v>
      </c>
      <c r="C7">
        <v>315600</v>
      </c>
      <c r="D7">
        <v>140</v>
      </c>
      <c r="F7" t="s">
        <v>434</v>
      </c>
      <c r="K7">
        <v>340200</v>
      </c>
      <c r="L7" t="s">
        <v>439</v>
      </c>
    </row>
    <row r="8" spans="2:13" x14ac:dyDescent="0.35">
      <c r="B8" t="s">
        <v>444</v>
      </c>
      <c r="C8">
        <v>315800</v>
      </c>
      <c r="D8">
        <v>140</v>
      </c>
      <c r="F8" t="s">
        <v>434</v>
      </c>
      <c r="K8">
        <v>340300</v>
      </c>
      <c r="L8" t="s">
        <v>458</v>
      </c>
    </row>
    <row r="9" spans="2:13" x14ac:dyDescent="0.35">
      <c r="B9" t="s">
        <v>443</v>
      </c>
      <c r="C9">
        <v>320100</v>
      </c>
      <c r="D9">
        <v>140</v>
      </c>
      <c r="F9" t="s">
        <v>434</v>
      </c>
      <c r="K9">
        <v>340800</v>
      </c>
      <c r="L9" t="s">
        <v>456</v>
      </c>
    </row>
    <row r="10" spans="2:13" x14ac:dyDescent="0.35">
      <c r="B10" t="s">
        <v>441</v>
      </c>
      <c r="C10">
        <v>325300</v>
      </c>
      <c r="D10">
        <v>140</v>
      </c>
      <c r="F10" t="s">
        <v>434</v>
      </c>
      <c r="K10">
        <v>340900</v>
      </c>
      <c r="L10" t="s">
        <v>455</v>
      </c>
    </row>
    <row r="11" spans="2:13" x14ac:dyDescent="0.35">
      <c r="B11" t="s">
        <v>453</v>
      </c>
      <c r="C11">
        <v>330100</v>
      </c>
      <c r="D11">
        <v>140</v>
      </c>
      <c r="F11" t="s">
        <v>434</v>
      </c>
      <c r="K11" t="s">
        <v>462</v>
      </c>
    </row>
    <row r="12" spans="2:13" x14ac:dyDescent="0.35">
      <c r="B12" t="s">
        <v>452</v>
      </c>
      <c r="C12">
        <v>340200</v>
      </c>
      <c r="D12">
        <v>140</v>
      </c>
      <c r="F12" t="s">
        <v>434</v>
      </c>
      <c r="K12" s="4">
        <v>310100</v>
      </c>
      <c r="L12" s="4" t="s">
        <v>461</v>
      </c>
      <c r="M12" t="s">
        <v>485</v>
      </c>
    </row>
    <row r="13" spans="2:13" x14ac:dyDescent="0.35">
      <c r="B13" t="s">
        <v>438</v>
      </c>
      <c r="C13">
        <v>340300</v>
      </c>
      <c r="D13">
        <v>140</v>
      </c>
      <c r="F13" t="s">
        <v>450</v>
      </c>
      <c r="K13" s="4">
        <v>310400</v>
      </c>
      <c r="L13" s="4" t="s">
        <v>459</v>
      </c>
      <c r="M13" t="s">
        <v>485</v>
      </c>
    </row>
    <row r="14" spans="2:13" x14ac:dyDescent="0.35">
      <c r="B14" t="s">
        <v>437</v>
      </c>
      <c r="C14">
        <v>340400</v>
      </c>
      <c r="D14">
        <v>140</v>
      </c>
      <c r="F14" t="s">
        <v>434</v>
      </c>
      <c r="K14">
        <v>340300</v>
      </c>
      <c r="L14" t="s">
        <v>458</v>
      </c>
    </row>
    <row r="15" spans="2:13" x14ac:dyDescent="0.35">
      <c r="B15" t="s">
        <v>451</v>
      </c>
      <c r="C15">
        <v>340800</v>
      </c>
      <c r="D15">
        <v>140</v>
      </c>
      <c r="F15" t="s">
        <v>450</v>
      </c>
      <c r="K15">
        <v>340800</v>
      </c>
      <c r="L15" t="s">
        <v>456</v>
      </c>
    </row>
    <row r="16" spans="2:13" x14ac:dyDescent="0.35">
      <c r="B16" t="s">
        <v>435</v>
      </c>
      <c r="C16">
        <v>340900</v>
      </c>
      <c r="D16">
        <v>140</v>
      </c>
      <c r="F16" t="s">
        <v>450</v>
      </c>
      <c r="K16">
        <v>340900</v>
      </c>
      <c r="L16" t="s">
        <v>455</v>
      </c>
    </row>
    <row r="17" spans="2:6" x14ac:dyDescent="0.35">
      <c r="B17" t="s">
        <v>449</v>
      </c>
      <c r="C17">
        <v>340950</v>
      </c>
      <c r="D17">
        <v>140</v>
      </c>
      <c r="F17" t="s">
        <v>434</v>
      </c>
    </row>
    <row r="18" spans="2:6" x14ac:dyDescent="0.35">
      <c r="B18" t="s">
        <v>448</v>
      </c>
      <c r="C18">
        <v>341000</v>
      </c>
      <c r="D18">
        <v>140</v>
      </c>
      <c r="F18" t="s">
        <v>434</v>
      </c>
    </row>
    <row r="20" spans="2:6" x14ac:dyDescent="0.35">
      <c r="B20" s="3" t="s">
        <v>469</v>
      </c>
      <c r="C20" s="3"/>
      <c r="D20" s="3"/>
      <c r="E20" s="3"/>
      <c r="F20" s="3"/>
    </row>
    <row r="21" spans="2:6" x14ac:dyDescent="0.35">
      <c r="B21" t="s">
        <v>446</v>
      </c>
      <c r="C21">
        <v>315100</v>
      </c>
      <c r="D21">
        <v>160</v>
      </c>
      <c r="F21" t="s">
        <v>464</v>
      </c>
    </row>
    <row r="22" spans="2:6" x14ac:dyDescent="0.35">
      <c r="B22" t="s">
        <v>467</v>
      </c>
      <c r="C22">
        <v>315600</v>
      </c>
      <c r="D22">
        <v>160</v>
      </c>
      <c r="F22" t="s">
        <v>464</v>
      </c>
    </row>
    <row r="23" spans="2:6" x14ac:dyDescent="0.35">
      <c r="B23" t="s">
        <v>466</v>
      </c>
      <c r="C23">
        <v>320100</v>
      </c>
      <c r="D23">
        <v>160</v>
      </c>
      <c r="F23" t="s">
        <v>464</v>
      </c>
    </row>
    <row r="24" spans="2:6" x14ac:dyDescent="0.35">
      <c r="B24" t="s">
        <v>441</v>
      </c>
      <c r="C24">
        <v>325300</v>
      </c>
      <c r="D24">
        <v>160</v>
      </c>
      <c r="F24" t="s">
        <v>434</v>
      </c>
    </row>
    <row r="25" spans="2:6" x14ac:dyDescent="0.35">
      <c r="B25" t="s">
        <v>453</v>
      </c>
      <c r="C25">
        <v>330100</v>
      </c>
      <c r="D25">
        <v>160</v>
      </c>
      <c r="F25" t="s">
        <v>464</v>
      </c>
    </row>
    <row r="26" spans="2:6" x14ac:dyDescent="0.35">
      <c r="B26" t="s">
        <v>439</v>
      </c>
      <c r="C26">
        <v>340200</v>
      </c>
      <c r="D26">
        <v>160</v>
      </c>
      <c r="F26" t="s">
        <v>464</v>
      </c>
    </row>
    <row r="27" spans="2:6" x14ac:dyDescent="0.35">
      <c r="B27" t="s">
        <v>438</v>
      </c>
      <c r="C27">
        <v>340300</v>
      </c>
      <c r="D27">
        <v>160</v>
      </c>
      <c r="F27" t="s">
        <v>463</v>
      </c>
    </row>
    <row r="28" spans="2:6" x14ac:dyDescent="0.35">
      <c r="B28" t="s">
        <v>456</v>
      </c>
      <c r="C28">
        <v>340800</v>
      </c>
      <c r="D28">
        <v>160</v>
      </c>
      <c r="F28" t="s">
        <v>463</v>
      </c>
    </row>
    <row r="29" spans="2:6" x14ac:dyDescent="0.35">
      <c r="B29" t="s">
        <v>455</v>
      </c>
      <c r="C29">
        <v>340900</v>
      </c>
      <c r="D29">
        <v>160</v>
      </c>
      <c r="F29" t="s">
        <v>463</v>
      </c>
    </row>
    <row r="31" spans="2:6" x14ac:dyDescent="0.35">
      <c r="B31" t="s">
        <v>474</v>
      </c>
      <c r="C31">
        <v>341000</v>
      </c>
      <c r="D31">
        <v>150</v>
      </c>
      <c r="F31" t="s">
        <v>478</v>
      </c>
    </row>
    <row r="33" spans="2:6" x14ac:dyDescent="0.35">
      <c r="B33" s="3" t="s">
        <v>447</v>
      </c>
      <c r="C33" s="3"/>
      <c r="D33" s="3"/>
      <c r="E33" s="3"/>
      <c r="F33" s="3"/>
    </row>
    <row r="34" spans="2:6" x14ac:dyDescent="0.35">
      <c r="B34" t="s">
        <v>446</v>
      </c>
      <c r="C34">
        <v>315100</v>
      </c>
      <c r="D34">
        <v>170</v>
      </c>
      <c r="F34" t="s">
        <v>434</v>
      </c>
    </row>
    <row r="35" spans="2:6" x14ac:dyDescent="0.35">
      <c r="B35" t="s">
        <v>445</v>
      </c>
      <c r="C35">
        <v>315600</v>
      </c>
      <c r="D35">
        <v>170</v>
      </c>
      <c r="F35" t="s">
        <v>434</v>
      </c>
    </row>
    <row r="36" spans="2:6" x14ac:dyDescent="0.35">
      <c r="B36" t="s">
        <v>444</v>
      </c>
      <c r="C36">
        <v>315800</v>
      </c>
      <c r="D36">
        <v>170</v>
      </c>
      <c r="F36" t="s">
        <v>434</v>
      </c>
    </row>
    <row r="37" spans="2:6" x14ac:dyDescent="0.35">
      <c r="B37" t="s">
        <v>443</v>
      </c>
      <c r="C37">
        <v>320100</v>
      </c>
      <c r="D37">
        <v>170</v>
      </c>
      <c r="F37" t="s">
        <v>434</v>
      </c>
    </row>
    <row r="38" spans="2:6" x14ac:dyDescent="0.35">
      <c r="B38" t="s">
        <v>442</v>
      </c>
      <c r="C38">
        <v>325200</v>
      </c>
      <c r="D38">
        <v>170</v>
      </c>
      <c r="F38" t="s">
        <v>434</v>
      </c>
    </row>
    <row r="39" spans="2:6" x14ac:dyDescent="0.35">
      <c r="B39" t="s">
        <v>441</v>
      </c>
      <c r="C39">
        <v>325300</v>
      </c>
      <c r="D39">
        <v>170</v>
      </c>
      <c r="F39" t="s">
        <v>434</v>
      </c>
    </row>
    <row r="40" spans="2:6" x14ac:dyDescent="0.35">
      <c r="B40" t="s">
        <v>440</v>
      </c>
      <c r="C40">
        <v>330100</v>
      </c>
      <c r="D40">
        <v>170</v>
      </c>
      <c r="F40" t="s">
        <v>434</v>
      </c>
    </row>
    <row r="41" spans="2:6" x14ac:dyDescent="0.35">
      <c r="B41" t="s">
        <v>439</v>
      </c>
      <c r="C41">
        <v>340200</v>
      </c>
      <c r="D41">
        <v>170</v>
      </c>
      <c r="F41" t="s">
        <v>434</v>
      </c>
    </row>
    <row r="42" spans="2:6" x14ac:dyDescent="0.35">
      <c r="B42" t="s">
        <v>438</v>
      </c>
      <c r="C42">
        <v>340300</v>
      </c>
      <c r="D42">
        <v>170</v>
      </c>
      <c r="F42" t="s">
        <v>434</v>
      </c>
    </row>
    <row r="43" spans="2:6" x14ac:dyDescent="0.35">
      <c r="B43" t="s">
        <v>437</v>
      </c>
      <c r="C43">
        <v>340400</v>
      </c>
      <c r="D43">
        <v>170</v>
      </c>
      <c r="F43" t="s">
        <v>434</v>
      </c>
    </row>
    <row r="44" spans="2:6" x14ac:dyDescent="0.35">
      <c r="B44" t="s">
        <v>436</v>
      </c>
      <c r="C44">
        <v>340800</v>
      </c>
      <c r="D44">
        <v>170</v>
      </c>
      <c r="F44" t="s">
        <v>434</v>
      </c>
    </row>
    <row r="45" spans="2:6" x14ac:dyDescent="0.35">
      <c r="B45" t="s">
        <v>435</v>
      </c>
      <c r="C45">
        <v>340900</v>
      </c>
      <c r="D45">
        <v>170</v>
      </c>
      <c r="F45" t="s">
        <v>434</v>
      </c>
    </row>
    <row r="47" spans="2:6" x14ac:dyDescent="0.35">
      <c r="B47" s="3" t="s">
        <v>470</v>
      </c>
      <c r="C47" s="3"/>
      <c r="D47" s="3"/>
      <c r="E47" s="3"/>
      <c r="F47" s="3"/>
    </row>
    <row r="48" spans="2:6" x14ac:dyDescent="0.35">
      <c r="B48" t="s">
        <v>472</v>
      </c>
      <c r="C48">
        <v>311250</v>
      </c>
      <c r="D48">
        <v>110</v>
      </c>
      <c r="F48" t="s">
        <v>471</v>
      </c>
    </row>
    <row r="49" spans="2:7" x14ac:dyDescent="0.35">
      <c r="B49" s="4" t="s">
        <v>473</v>
      </c>
      <c r="C49" s="4">
        <v>311200</v>
      </c>
      <c r="D49" s="4">
        <v>115</v>
      </c>
      <c r="E49" s="4"/>
      <c r="F49" s="4" t="s">
        <v>484</v>
      </c>
    </row>
    <row r="50" spans="2:7" x14ac:dyDescent="0.35">
      <c r="B50" t="s">
        <v>477</v>
      </c>
      <c r="C50">
        <v>341200</v>
      </c>
      <c r="D50">
        <v>270</v>
      </c>
      <c r="F50" t="s">
        <v>434</v>
      </c>
    </row>
    <row r="51" spans="2:7" x14ac:dyDescent="0.35">
      <c r="B51" t="s">
        <v>480</v>
      </c>
      <c r="C51">
        <v>341200</v>
      </c>
      <c r="D51">
        <v>272</v>
      </c>
      <c r="F51" t="s">
        <v>481</v>
      </c>
      <c r="G51" t="s">
        <v>483</v>
      </c>
    </row>
    <row r="52" spans="2:7" x14ac:dyDescent="0.35">
      <c r="B52" t="s">
        <v>479</v>
      </c>
      <c r="C52">
        <v>365200</v>
      </c>
      <c r="D52">
        <v>490</v>
      </c>
      <c r="F52" t="s">
        <v>434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A1:B29"/>
  <sheetViews>
    <sheetView workbookViewId="0"/>
  </sheetViews>
  <sheetFormatPr defaultRowHeight="14.5" x14ac:dyDescent="0.35"/>
  <sheetData>
    <row r="1" spans="1:2" x14ac:dyDescent="0.35">
      <c r="A1" t="s">
        <v>64</v>
      </c>
      <c r="B1" t="s">
        <v>65</v>
      </c>
    </row>
    <row r="2" spans="1:2" x14ac:dyDescent="0.35">
      <c r="A2" t="s">
        <v>66</v>
      </c>
      <c r="B2" t="s">
        <v>67</v>
      </c>
    </row>
    <row r="3" spans="1:2" x14ac:dyDescent="0.35">
      <c r="A3" t="s">
        <v>68</v>
      </c>
      <c r="B3" t="s">
        <v>69</v>
      </c>
    </row>
    <row r="4" spans="1:2" x14ac:dyDescent="0.35">
      <c r="A4" t="s">
        <v>70</v>
      </c>
      <c r="B4" t="s">
        <v>67</v>
      </c>
    </row>
    <row r="5" spans="1:2" x14ac:dyDescent="0.35">
      <c r="A5" t="s">
        <v>71</v>
      </c>
      <c r="B5" t="s">
        <v>67</v>
      </c>
    </row>
    <row r="6" spans="1:2" x14ac:dyDescent="0.35">
      <c r="A6" t="s">
        <v>72</v>
      </c>
      <c r="B6" t="s">
        <v>69</v>
      </c>
    </row>
    <row r="7" spans="1:2" x14ac:dyDescent="0.35">
      <c r="A7" t="s">
        <v>73</v>
      </c>
      <c r="B7" t="s">
        <v>69</v>
      </c>
    </row>
    <row r="8" spans="1:2" x14ac:dyDescent="0.35">
      <c r="A8" t="s">
        <v>74</v>
      </c>
      <c r="B8" t="s">
        <v>69</v>
      </c>
    </row>
    <row r="9" spans="1:2" x14ac:dyDescent="0.35">
      <c r="A9" t="s">
        <v>75</v>
      </c>
      <c r="B9" t="s">
        <v>69</v>
      </c>
    </row>
    <row r="10" spans="1:2" x14ac:dyDescent="0.35">
      <c r="A10" t="s">
        <v>92</v>
      </c>
      <c r="B10" t="s">
        <v>92</v>
      </c>
    </row>
    <row r="11" spans="1:2" x14ac:dyDescent="0.35">
      <c r="A11" t="s">
        <v>76</v>
      </c>
      <c r="B11" t="s">
        <v>69</v>
      </c>
    </row>
    <row r="12" spans="1:2" x14ac:dyDescent="0.35">
      <c r="A12" t="s">
        <v>77</v>
      </c>
      <c r="B12" t="s">
        <v>69</v>
      </c>
    </row>
    <row r="13" spans="1:2" x14ac:dyDescent="0.35">
      <c r="A13" t="s">
        <v>78</v>
      </c>
      <c r="B13" t="s">
        <v>69</v>
      </c>
    </row>
    <row r="14" spans="1:2" x14ac:dyDescent="0.35">
      <c r="A14" t="s">
        <v>79</v>
      </c>
      <c r="B14" t="s">
        <v>69</v>
      </c>
    </row>
    <row r="15" spans="1:2" x14ac:dyDescent="0.35">
      <c r="A15" t="s">
        <v>67</v>
      </c>
      <c r="B15" t="s">
        <v>67</v>
      </c>
    </row>
    <row r="16" spans="1:2" x14ac:dyDescent="0.35">
      <c r="A16" t="s">
        <v>80</v>
      </c>
      <c r="B16" t="s">
        <v>67</v>
      </c>
    </row>
    <row r="17" spans="1:2" x14ac:dyDescent="0.35">
      <c r="A17" t="s">
        <v>93</v>
      </c>
      <c r="B17" t="s">
        <v>69</v>
      </c>
    </row>
    <row r="18" spans="1:2" x14ac:dyDescent="0.35">
      <c r="A18" t="s">
        <v>81</v>
      </c>
      <c r="B18" t="s">
        <v>69</v>
      </c>
    </row>
    <row r="19" spans="1:2" x14ac:dyDescent="0.35">
      <c r="A19" t="s">
        <v>82</v>
      </c>
      <c r="B19" t="s">
        <v>69</v>
      </c>
    </row>
    <row r="20" spans="1:2" x14ac:dyDescent="0.35">
      <c r="A20" t="s">
        <v>83</v>
      </c>
      <c r="B20" t="s">
        <v>83</v>
      </c>
    </row>
    <row r="21" spans="1:2" x14ac:dyDescent="0.35">
      <c r="A21" t="s">
        <v>84</v>
      </c>
      <c r="B21" t="s">
        <v>84</v>
      </c>
    </row>
    <row r="22" spans="1:2" x14ac:dyDescent="0.35">
      <c r="A22" t="s">
        <v>85</v>
      </c>
      <c r="B22" t="s">
        <v>69</v>
      </c>
    </row>
    <row r="23" spans="1:2" x14ac:dyDescent="0.35">
      <c r="A23" t="s">
        <v>86</v>
      </c>
      <c r="B23" t="s">
        <v>67</v>
      </c>
    </row>
    <row r="24" spans="1:2" x14ac:dyDescent="0.35">
      <c r="A24" t="s">
        <v>87</v>
      </c>
      <c r="B24" t="s">
        <v>67</v>
      </c>
    </row>
    <row r="25" spans="1:2" x14ac:dyDescent="0.35">
      <c r="A25" t="s">
        <v>18</v>
      </c>
      <c r="B25" t="s">
        <v>18</v>
      </c>
    </row>
    <row r="26" spans="1:2" x14ac:dyDescent="0.35">
      <c r="A26" t="s">
        <v>88</v>
      </c>
      <c r="B26" t="s">
        <v>88</v>
      </c>
    </row>
    <row r="27" spans="1:2" x14ac:dyDescent="0.35">
      <c r="A27" t="s">
        <v>89</v>
      </c>
      <c r="B27" t="s">
        <v>69</v>
      </c>
    </row>
    <row r="28" spans="1:2" x14ac:dyDescent="0.35">
      <c r="A28" t="s">
        <v>90</v>
      </c>
      <c r="B28" t="s">
        <v>90</v>
      </c>
    </row>
    <row r="29" spans="1:2" x14ac:dyDescent="0.35">
      <c r="A29" t="s">
        <v>91</v>
      </c>
      <c r="B29" t="s">
        <v>67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7"/>
  <dimension ref="A1:I94"/>
  <sheetViews>
    <sheetView topLeftCell="A73" workbookViewId="0">
      <selection activeCell="E82" sqref="E82"/>
    </sheetView>
  </sheetViews>
  <sheetFormatPr defaultRowHeight="14.5" x14ac:dyDescent="0.35"/>
  <cols>
    <col min="1" max="1" width="21.453125" bestFit="1" customWidth="1"/>
    <col min="2" max="2" width="40.81640625" bestFit="1" customWidth="1"/>
    <col min="6" max="6" width="10.54296875" customWidth="1"/>
    <col min="9" max="9" width="14.26953125" bestFit="1" customWidth="1"/>
  </cols>
  <sheetData>
    <row r="1" spans="1:9" x14ac:dyDescent="0.35">
      <c r="A1" t="s">
        <v>94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t="s">
        <v>570</v>
      </c>
      <c r="H1" t="s">
        <v>571</v>
      </c>
      <c r="I1" t="s">
        <v>1061</v>
      </c>
    </row>
    <row r="2" spans="1:9" x14ac:dyDescent="0.35">
      <c r="A2" s="1" t="s">
        <v>100</v>
      </c>
      <c r="B2" s="1" t="s">
        <v>101</v>
      </c>
      <c r="C2">
        <v>65</v>
      </c>
      <c r="D2">
        <v>1</v>
      </c>
      <c r="E2" t="s">
        <v>102</v>
      </c>
      <c r="F2" t="s">
        <v>102</v>
      </c>
    </row>
    <row r="3" spans="1:9" x14ac:dyDescent="0.35">
      <c r="A3" s="1" t="s">
        <v>103</v>
      </c>
      <c r="B3" s="1" t="s">
        <v>104</v>
      </c>
      <c r="C3">
        <v>66</v>
      </c>
      <c r="D3">
        <v>2</v>
      </c>
      <c r="E3" t="s">
        <v>100</v>
      </c>
      <c r="F3" t="s">
        <v>105</v>
      </c>
      <c r="G3" t="s">
        <v>83</v>
      </c>
      <c r="H3" t="s">
        <v>566</v>
      </c>
      <c r="I3" t="s">
        <v>99</v>
      </c>
    </row>
    <row r="4" spans="1:9" x14ac:dyDescent="0.35">
      <c r="A4" s="1" t="s">
        <v>106</v>
      </c>
      <c r="B4" s="1" t="s">
        <v>107</v>
      </c>
      <c r="C4">
        <v>67</v>
      </c>
      <c r="D4">
        <v>2</v>
      </c>
      <c r="E4" t="s">
        <v>100</v>
      </c>
      <c r="F4" t="s">
        <v>108</v>
      </c>
      <c r="G4" t="s">
        <v>88</v>
      </c>
      <c r="H4" t="s">
        <v>566</v>
      </c>
      <c r="I4" t="s">
        <v>99</v>
      </c>
    </row>
    <row r="5" spans="1:9" x14ac:dyDescent="0.35">
      <c r="A5" s="1" t="s">
        <v>109</v>
      </c>
      <c r="B5" s="1" t="s">
        <v>110</v>
      </c>
      <c r="C5">
        <v>68</v>
      </c>
      <c r="D5">
        <v>2</v>
      </c>
      <c r="E5" t="s">
        <v>100</v>
      </c>
      <c r="F5" t="s">
        <v>111</v>
      </c>
      <c r="G5" t="s">
        <v>18</v>
      </c>
      <c r="H5" t="s">
        <v>566</v>
      </c>
      <c r="I5" t="s">
        <v>99</v>
      </c>
    </row>
    <row r="6" spans="1:9" x14ac:dyDescent="0.35">
      <c r="A6" s="1" t="s">
        <v>112</v>
      </c>
      <c r="B6" s="1" t="s">
        <v>113</v>
      </c>
      <c r="C6">
        <v>69</v>
      </c>
      <c r="D6">
        <v>2</v>
      </c>
      <c r="E6" t="s">
        <v>100</v>
      </c>
      <c r="F6" t="s">
        <v>114</v>
      </c>
      <c r="G6" t="s">
        <v>90</v>
      </c>
      <c r="H6" t="s">
        <v>566</v>
      </c>
      <c r="I6" t="s">
        <v>99</v>
      </c>
    </row>
    <row r="7" spans="1:9" x14ac:dyDescent="0.35">
      <c r="A7" s="1" t="s">
        <v>115</v>
      </c>
      <c r="B7" s="1" t="s">
        <v>116</v>
      </c>
      <c r="C7">
        <v>70</v>
      </c>
      <c r="D7">
        <v>2</v>
      </c>
      <c r="E7" t="s">
        <v>100</v>
      </c>
      <c r="F7" t="s">
        <v>117</v>
      </c>
      <c r="G7" t="s">
        <v>90</v>
      </c>
      <c r="H7" t="s">
        <v>566</v>
      </c>
      <c r="I7" t="s">
        <v>99</v>
      </c>
    </row>
    <row r="8" spans="1:9" x14ac:dyDescent="0.35">
      <c r="A8" s="1" t="s">
        <v>118</v>
      </c>
      <c r="B8" s="1" t="s">
        <v>119</v>
      </c>
      <c r="C8">
        <v>72</v>
      </c>
      <c r="D8">
        <v>2</v>
      </c>
      <c r="E8" t="s">
        <v>100</v>
      </c>
      <c r="F8" t="s">
        <v>120</v>
      </c>
      <c r="G8" t="s">
        <v>277</v>
      </c>
      <c r="H8" t="s">
        <v>566</v>
      </c>
      <c r="I8" t="s">
        <v>99</v>
      </c>
    </row>
    <row r="9" spans="1:9" x14ac:dyDescent="0.35">
      <c r="A9" s="1" t="s">
        <v>121</v>
      </c>
      <c r="B9" s="1" t="s">
        <v>122</v>
      </c>
      <c r="C9">
        <v>73</v>
      </c>
      <c r="D9">
        <v>2</v>
      </c>
      <c r="E9" t="s">
        <v>100</v>
      </c>
      <c r="F9" t="s">
        <v>123</v>
      </c>
      <c r="G9" t="s">
        <v>277</v>
      </c>
      <c r="H9" t="s">
        <v>566</v>
      </c>
      <c r="I9" t="s">
        <v>99</v>
      </c>
    </row>
    <row r="10" spans="1:9" x14ac:dyDescent="0.35">
      <c r="A10" s="1" t="s">
        <v>124</v>
      </c>
      <c r="B10" s="1" t="s">
        <v>125</v>
      </c>
      <c r="C10">
        <v>74</v>
      </c>
      <c r="D10">
        <v>2</v>
      </c>
      <c r="E10" t="s">
        <v>100</v>
      </c>
      <c r="F10" t="s">
        <v>126</v>
      </c>
      <c r="G10" t="s">
        <v>277</v>
      </c>
      <c r="H10" t="s">
        <v>566</v>
      </c>
      <c r="I10" t="s">
        <v>99</v>
      </c>
    </row>
    <row r="11" spans="1:9" x14ac:dyDescent="0.35">
      <c r="A11" s="1" t="s">
        <v>127</v>
      </c>
      <c r="B11" s="1" t="s">
        <v>128</v>
      </c>
      <c r="C11">
        <v>75</v>
      </c>
      <c r="D11">
        <v>2</v>
      </c>
      <c r="E11" t="s">
        <v>100</v>
      </c>
      <c r="F11" t="s">
        <v>129</v>
      </c>
      <c r="G11" t="s">
        <v>84</v>
      </c>
      <c r="H11" t="s">
        <v>566</v>
      </c>
      <c r="I11" t="s">
        <v>99</v>
      </c>
    </row>
    <row r="12" spans="1:9" x14ac:dyDescent="0.35">
      <c r="A12" s="1" t="s">
        <v>130</v>
      </c>
      <c r="B12" s="1" t="s">
        <v>131</v>
      </c>
      <c r="C12">
        <v>77</v>
      </c>
      <c r="D12">
        <v>2</v>
      </c>
      <c r="E12" t="s">
        <v>100</v>
      </c>
      <c r="F12" t="s">
        <v>132</v>
      </c>
      <c r="G12" t="s">
        <v>277</v>
      </c>
      <c r="H12" t="s">
        <v>566</v>
      </c>
      <c r="I12" t="s">
        <v>99</v>
      </c>
    </row>
    <row r="13" spans="1:9" x14ac:dyDescent="0.35">
      <c r="A13" s="1" t="s">
        <v>572</v>
      </c>
      <c r="B13" s="1" t="s">
        <v>569</v>
      </c>
      <c r="C13">
        <v>165</v>
      </c>
      <c r="D13">
        <v>2</v>
      </c>
      <c r="E13" t="s">
        <v>100</v>
      </c>
      <c r="F13" t="s">
        <v>573</v>
      </c>
      <c r="G13" t="s">
        <v>567</v>
      </c>
      <c r="H13" t="s">
        <v>568</v>
      </c>
      <c r="I13" t="s">
        <v>99</v>
      </c>
    </row>
    <row r="14" spans="1:9" x14ac:dyDescent="0.35">
      <c r="A14" s="1" t="s">
        <v>133</v>
      </c>
      <c r="B14" s="1" t="s">
        <v>134</v>
      </c>
      <c r="C14">
        <v>78</v>
      </c>
      <c r="D14">
        <v>1</v>
      </c>
      <c r="E14" t="s">
        <v>102</v>
      </c>
      <c r="F14" t="s">
        <v>135</v>
      </c>
    </row>
    <row r="15" spans="1:9" x14ac:dyDescent="0.35">
      <c r="A15" s="1" t="s">
        <v>136</v>
      </c>
      <c r="B15" s="1" t="s">
        <v>137</v>
      </c>
      <c r="C15">
        <v>79</v>
      </c>
      <c r="D15">
        <v>2</v>
      </c>
      <c r="E15" t="s">
        <v>133</v>
      </c>
      <c r="F15" t="s">
        <v>133</v>
      </c>
      <c r="G15" t="s">
        <v>556</v>
      </c>
      <c r="H15" t="s">
        <v>556</v>
      </c>
      <c r="I15" t="s">
        <v>1062</v>
      </c>
    </row>
    <row r="16" spans="1:9" x14ac:dyDescent="0.35">
      <c r="A16" s="1" t="s">
        <v>138</v>
      </c>
      <c r="B16" s="1" t="s">
        <v>139</v>
      </c>
      <c r="C16">
        <v>80</v>
      </c>
      <c r="D16">
        <v>2</v>
      </c>
      <c r="E16" t="s">
        <v>133</v>
      </c>
      <c r="F16" t="s">
        <v>133</v>
      </c>
      <c r="G16" t="s">
        <v>557</v>
      </c>
      <c r="H16" t="s">
        <v>557</v>
      </c>
      <c r="I16" t="s">
        <v>1062</v>
      </c>
    </row>
    <row r="17" spans="1:9" x14ac:dyDescent="0.35">
      <c r="A17" s="1" t="s">
        <v>140</v>
      </c>
      <c r="B17" s="1" t="s">
        <v>141</v>
      </c>
      <c r="C17">
        <v>81</v>
      </c>
      <c r="D17">
        <v>2</v>
      </c>
      <c r="E17" t="s">
        <v>133</v>
      </c>
      <c r="F17" t="s">
        <v>133</v>
      </c>
      <c r="G17" t="s">
        <v>558</v>
      </c>
      <c r="H17" t="s">
        <v>558</v>
      </c>
      <c r="I17" t="s">
        <v>1062</v>
      </c>
    </row>
    <row r="18" spans="1:9" x14ac:dyDescent="0.35">
      <c r="A18" s="1" t="s">
        <v>142</v>
      </c>
      <c r="B18" s="1" t="s">
        <v>143</v>
      </c>
      <c r="C18">
        <v>83</v>
      </c>
      <c r="D18">
        <v>2</v>
      </c>
      <c r="E18" t="s">
        <v>133</v>
      </c>
      <c r="F18" t="s">
        <v>133</v>
      </c>
      <c r="G18" t="s">
        <v>559</v>
      </c>
      <c r="H18" t="s">
        <v>559</v>
      </c>
      <c r="I18" t="s">
        <v>1062</v>
      </c>
    </row>
    <row r="19" spans="1:9" x14ac:dyDescent="0.35">
      <c r="A19" s="1" t="s">
        <v>144</v>
      </c>
      <c r="B19" s="1" t="s">
        <v>145</v>
      </c>
      <c r="C19">
        <v>84</v>
      </c>
      <c r="D19">
        <v>2</v>
      </c>
      <c r="E19" t="s">
        <v>133</v>
      </c>
      <c r="F19" t="s">
        <v>133</v>
      </c>
      <c r="G19" t="s">
        <v>1063</v>
      </c>
      <c r="H19" t="s">
        <v>1063</v>
      </c>
      <c r="I19" t="s">
        <v>1062</v>
      </c>
    </row>
    <row r="20" spans="1:9" x14ac:dyDescent="0.35">
      <c r="A20" s="1" t="s">
        <v>146</v>
      </c>
      <c r="B20" s="1" t="s">
        <v>147</v>
      </c>
      <c r="C20">
        <v>85</v>
      </c>
      <c r="D20">
        <v>2</v>
      </c>
      <c r="E20" t="s">
        <v>133</v>
      </c>
      <c r="F20" t="s">
        <v>133</v>
      </c>
      <c r="G20" t="s">
        <v>560</v>
      </c>
      <c r="H20" t="s">
        <v>560</v>
      </c>
      <c r="I20" t="s">
        <v>560</v>
      </c>
    </row>
    <row r="21" spans="1:9" x14ac:dyDescent="0.35">
      <c r="A21" s="1" t="s">
        <v>148</v>
      </c>
      <c r="B21" s="1" t="s">
        <v>149</v>
      </c>
      <c r="C21">
        <v>86</v>
      </c>
      <c r="D21">
        <v>2</v>
      </c>
      <c r="E21" t="s">
        <v>133</v>
      </c>
      <c r="F21" t="s">
        <v>133</v>
      </c>
      <c r="G21" t="s">
        <v>67</v>
      </c>
      <c r="H21" t="s">
        <v>67</v>
      </c>
      <c r="I21" t="s">
        <v>1062</v>
      </c>
    </row>
    <row r="22" spans="1:9" x14ac:dyDescent="0.35">
      <c r="A22" s="1" t="s">
        <v>150</v>
      </c>
      <c r="B22" s="1" t="s">
        <v>151</v>
      </c>
      <c r="C22">
        <v>87</v>
      </c>
      <c r="D22">
        <v>2</v>
      </c>
      <c r="E22" t="s">
        <v>133</v>
      </c>
      <c r="F22" t="s">
        <v>133</v>
      </c>
    </row>
    <row r="23" spans="1:9" x14ac:dyDescent="0.35">
      <c r="A23" s="1" t="s">
        <v>152</v>
      </c>
      <c r="B23" s="1" t="s">
        <v>153</v>
      </c>
      <c r="C23">
        <v>88</v>
      </c>
      <c r="D23">
        <v>2</v>
      </c>
      <c r="E23" t="s">
        <v>133</v>
      </c>
      <c r="F23" t="s">
        <v>133</v>
      </c>
      <c r="G23" t="s">
        <v>561</v>
      </c>
      <c r="H23" t="s">
        <v>561</v>
      </c>
      <c r="I23" t="s">
        <v>1062</v>
      </c>
    </row>
    <row r="24" spans="1:9" x14ac:dyDescent="0.35">
      <c r="A24" s="1" t="s">
        <v>154</v>
      </c>
      <c r="B24" s="1" t="s">
        <v>155</v>
      </c>
      <c r="C24">
        <v>93</v>
      </c>
      <c r="D24">
        <v>1</v>
      </c>
      <c r="E24" t="s">
        <v>102</v>
      </c>
      <c r="F24" t="s">
        <v>102</v>
      </c>
    </row>
    <row r="25" spans="1:9" x14ac:dyDescent="0.35">
      <c r="A25" s="1" t="s">
        <v>156</v>
      </c>
      <c r="B25" s="1" t="s">
        <v>157</v>
      </c>
      <c r="C25">
        <v>94</v>
      </c>
      <c r="D25">
        <v>2</v>
      </c>
      <c r="E25" t="s">
        <v>154</v>
      </c>
      <c r="F25" t="s">
        <v>105</v>
      </c>
      <c r="G25" t="s">
        <v>944</v>
      </c>
      <c r="H25" t="s">
        <v>562</v>
      </c>
      <c r="I25" t="s">
        <v>1064</v>
      </c>
    </row>
    <row r="26" spans="1:9" x14ac:dyDescent="0.35">
      <c r="A26" s="1" t="s">
        <v>158</v>
      </c>
      <c r="B26" s="1" t="s">
        <v>159</v>
      </c>
      <c r="C26">
        <v>95</v>
      </c>
      <c r="D26">
        <v>2</v>
      </c>
      <c r="E26" t="s">
        <v>154</v>
      </c>
      <c r="F26" t="s">
        <v>108</v>
      </c>
      <c r="G26" t="s">
        <v>944</v>
      </c>
      <c r="H26" t="s">
        <v>562</v>
      </c>
      <c r="I26" t="s">
        <v>1064</v>
      </c>
    </row>
    <row r="27" spans="1:9" x14ac:dyDescent="0.35">
      <c r="A27" s="1" t="s">
        <v>160</v>
      </c>
      <c r="B27" s="1" t="s">
        <v>161</v>
      </c>
      <c r="C27">
        <v>96</v>
      </c>
      <c r="D27">
        <v>2</v>
      </c>
      <c r="E27" t="s">
        <v>154</v>
      </c>
      <c r="F27" t="s">
        <v>111</v>
      </c>
      <c r="G27" t="s">
        <v>944</v>
      </c>
      <c r="H27" t="s">
        <v>562</v>
      </c>
      <c r="I27" t="s">
        <v>1064</v>
      </c>
    </row>
    <row r="28" spans="1:9" x14ac:dyDescent="0.35">
      <c r="A28" s="1" t="s">
        <v>162</v>
      </c>
      <c r="B28" s="1" t="s">
        <v>163</v>
      </c>
      <c r="C28">
        <v>97</v>
      </c>
      <c r="D28">
        <v>2</v>
      </c>
      <c r="E28" t="s">
        <v>154</v>
      </c>
      <c r="F28" t="s">
        <v>114</v>
      </c>
      <c r="G28" t="s">
        <v>944</v>
      </c>
      <c r="H28" t="s">
        <v>562</v>
      </c>
      <c r="I28" t="s">
        <v>1064</v>
      </c>
    </row>
    <row r="29" spans="1:9" x14ac:dyDescent="0.35">
      <c r="A29" s="1" t="s">
        <v>164</v>
      </c>
      <c r="B29" s="1" t="s">
        <v>165</v>
      </c>
      <c r="C29">
        <v>98</v>
      </c>
      <c r="D29">
        <v>2</v>
      </c>
      <c r="E29" t="s">
        <v>154</v>
      </c>
      <c r="F29" t="s">
        <v>117</v>
      </c>
      <c r="G29" t="s">
        <v>944</v>
      </c>
      <c r="H29" t="s">
        <v>562</v>
      </c>
      <c r="I29" t="s">
        <v>1064</v>
      </c>
    </row>
    <row r="30" spans="1:9" x14ac:dyDescent="0.35">
      <c r="A30" s="1" t="s">
        <v>166</v>
      </c>
      <c r="B30" s="1" t="s">
        <v>167</v>
      </c>
      <c r="C30">
        <v>100</v>
      </c>
      <c r="D30">
        <v>2</v>
      </c>
      <c r="E30" t="s">
        <v>154</v>
      </c>
      <c r="F30" t="s">
        <v>120</v>
      </c>
      <c r="G30" t="s">
        <v>944</v>
      </c>
      <c r="H30" t="s">
        <v>562</v>
      </c>
      <c r="I30" t="s">
        <v>1064</v>
      </c>
    </row>
    <row r="31" spans="1:9" x14ac:dyDescent="0.35">
      <c r="A31" s="1" t="s">
        <v>168</v>
      </c>
      <c r="B31" s="1" t="s">
        <v>169</v>
      </c>
      <c r="C31">
        <v>101</v>
      </c>
      <c r="D31">
        <v>2</v>
      </c>
      <c r="E31" t="s">
        <v>154</v>
      </c>
      <c r="F31" t="s">
        <v>123</v>
      </c>
    </row>
    <row r="32" spans="1:9" x14ac:dyDescent="0.35">
      <c r="A32" s="1" t="s">
        <v>170</v>
      </c>
      <c r="B32" s="1" t="s">
        <v>171</v>
      </c>
      <c r="C32">
        <v>102</v>
      </c>
      <c r="D32">
        <v>2</v>
      </c>
      <c r="E32" t="s">
        <v>154</v>
      </c>
      <c r="F32" t="s">
        <v>126</v>
      </c>
    </row>
    <row r="33" spans="1:9" x14ac:dyDescent="0.35">
      <c r="A33" s="1" t="s">
        <v>172</v>
      </c>
      <c r="B33" s="1" t="s">
        <v>173</v>
      </c>
      <c r="C33">
        <v>103</v>
      </c>
      <c r="D33">
        <v>2</v>
      </c>
      <c r="E33" t="s">
        <v>154</v>
      </c>
      <c r="F33" t="s">
        <v>129</v>
      </c>
    </row>
    <row r="34" spans="1:9" x14ac:dyDescent="0.35">
      <c r="A34" s="1" t="s">
        <v>174</v>
      </c>
      <c r="B34" s="1" t="s">
        <v>175</v>
      </c>
      <c r="C34">
        <v>104</v>
      </c>
      <c r="D34">
        <v>2</v>
      </c>
      <c r="E34" t="s">
        <v>154</v>
      </c>
      <c r="F34" t="s">
        <v>176</v>
      </c>
    </row>
    <row r="35" spans="1:9" x14ac:dyDescent="0.35">
      <c r="A35" s="1" t="s">
        <v>177</v>
      </c>
      <c r="B35" s="1" t="s">
        <v>178</v>
      </c>
      <c r="C35">
        <v>105</v>
      </c>
      <c r="D35">
        <v>2</v>
      </c>
      <c r="E35" t="s">
        <v>154</v>
      </c>
      <c r="F35" t="s">
        <v>132</v>
      </c>
      <c r="G35" t="s">
        <v>944</v>
      </c>
      <c r="H35" t="s">
        <v>562</v>
      </c>
      <c r="I35" t="s">
        <v>1064</v>
      </c>
    </row>
    <row r="36" spans="1:9" x14ac:dyDescent="0.35">
      <c r="A36" s="1" t="s">
        <v>179</v>
      </c>
      <c r="B36" s="1" t="s">
        <v>180</v>
      </c>
      <c r="C36">
        <v>145</v>
      </c>
      <c r="D36">
        <v>1</v>
      </c>
      <c r="E36" t="s">
        <v>102</v>
      </c>
      <c r="F36" t="s">
        <v>102</v>
      </c>
    </row>
    <row r="37" spans="1:9" x14ac:dyDescent="0.35">
      <c r="A37" s="1" t="s">
        <v>181</v>
      </c>
      <c r="B37" s="1" t="s">
        <v>182</v>
      </c>
      <c r="C37">
        <v>146</v>
      </c>
      <c r="D37">
        <v>2</v>
      </c>
      <c r="E37" t="s">
        <v>179</v>
      </c>
      <c r="F37" t="s">
        <v>105</v>
      </c>
      <c r="G37" t="s">
        <v>944</v>
      </c>
      <c r="H37" t="s">
        <v>564</v>
      </c>
      <c r="I37" t="s">
        <v>1064</v>
      </c>
    </row>
    <row r="38" spans="1:9" x14ac:dyDescent="0.35">
      <c r="A38" s="1" t="s">
        <v>183</v>
      </c>
      <c r="B38" s="1" t="s">
        <v>184</v>
      </c>
      <c r="C38">
        <v>147</v>
      </c>
      <c r="D38">
        <v>2</v>
      </c>
      <c r="E38" t="s">
        <v>179</v>
      </c>
      <c r="F38" t="s">
        <v>108</v>
      </c>
    </row>
    <row r="39" spans="1:9" x14ac:dyDescent="0.35">
      <c r="A39" s="1" t="s">
        <v>185</v>
      </c>
      <c r="B39" s="1" t="s">
        <v>186</v>
      </c>
      <c r="C39">
        <v>148</v>
      </c>
      <c r="D39">
        <v>2</v>
      </c>
      <c r="E39" t="s">
        <v>179</v>
      </c>
      <c r="F39" t="s">
        <v>111</v>
      </c>
      <c r="G39" s="13" t="s">
        <v>944</v>
      </c>
      <c r="H39" s="13" t="s">
        <v>564</v>
      </c>
      <c r="I39" s="13" t="s">
        <v>1064</v>
      </c>
    </row>
    <row r="40" spans="1:9" x14ac:dyDescent="0.35">
      <c r="A40" s="1" t="s">
        <v>187</v>
      </c>
      <c r="B40" s="1" t="s">
        <v>188</v>
      </c>
      <c r="C40">
        <v>149</v>
      </c>
      <c r="D40">
        <v>2</v>
      </c>
      <c r="E40" t="s">
        <v>179</v>
      </c>
      <c r="F40" t="s">
        <v>114</v>
      </c>
      <c r="G40" t="s">
        <v>944</v>
      </c>
      <c r="H40" t="s">
        <v>564</v>
      </c>
      <c r="I40" t="s">
        <v>1064</v>
      </c>
    </row>
    <row r="41" spans="1:9" x14ac:dyDescent="0.35">
      <c r="A41" s="1" t="s">
        <v>189</v>
      </c>
      <c r="B41" s="1" t="s">
        <v>190</v>
      </c>
      <c r="C41">
        <v>150</v>
      </c>
      <c r="D41">
        <v>2</v>
      </c>
      <c r="E41" t="s">
        <v>179</v>
      </c>
      <c r="F41" t="s">
        <v>117</v>
      </c>
      <c r="G41" t="s">
        <v>944</v>
      </c>
      <c r="H41" t="s">
        <v>564</v>
      </c>
      <c r="I41" t="s">
        <v>1064</v>
      </c>
    </row>
    <row r="42" spans="1:9" x14ac:dyDescent="0.35">
      <c r="A42" s="1" t="s">
        <v>191</v>
      </c>
      <c r="B42" s="1" t="s">
        <v>192</v>
      </c>
      <c r="C42">
        <v>152</v>
      </c>
      <c r="D42">
        <v>2</v>
      </c>
      <c r="E42" t="s">
        <v>179</v>
      </c>
      <c r="F42" t="s">
        <v>120</v>
      </c>
    </row>
    <row r="43" spans="1:9" x14ac:dyDescent="0.35">
      <c r="A43" s="1" t="s">
        <v>193</v>
      </c>
      <c r="B43" s="1" t="s">
        <v>194</v>
      </c>
      <c r="C43">
        <v>153</v>
      </c>
      <c r="D43">
        <v>2</v>
      </c>
      <c r="E43" t="s">
        <v>179</v>
      </c>
      <c r="F43" t="s">
        <v>123</v>
      </c>
    </row>
    <row r="44" spans="1:9" x14ac:dyDescent="0.35">
      <c r="A44" s="1" t="s">
        <v>195</v>
      </c>
      <c r="B44" s="1" t="s">
        <v>196</v>
      </c>
      <c r="C44">
        <v>154</v>
      </c>
      <c r="D44">
        <v>2</v>
      </c>
      <c r="E44" t="s">
        <v>179</v>
      </c>
      <c r="F44" t="s">
        <v>126</v>
      </c>
    </row>
    <row r="45" spans="1:9" x14ac:dyDescent="0.35">
      <c r="A45" s="1" t="s">
        <v>197</v>
      </c>
      <c r="B45" s="1" t="s">
        <v>198</v>
      </c>
      <c r="C45">
        <v>155</v>
      </c>
      <c r="D45">
        <v>2</v>
      </c>
      <c r="E45" t="s">
        <v>179</v>
      </c>
      <c r="F45" t="s">
        <v>129</v>
      </c>
    </row>
    <row r="46" spans="1:9" x14ac:dyDescent="0.35">
      <c r="A46" s="1" t="s">
        <v>199</v>
      </c>
      <c r="B46" s="1" t="s">
        <v>200</v>
      </c>
      <c r="C46">
        <v>156</v>
      </c>
      <c r="D46">
        <v>2</v>
      </c>
      <c r="E46" t="s">
        <v>179</v>
      </c>
      <c r="F46" t="s">
        <v>176</v>
      </c>
    </row>
    <row r="47" spans="1:9" x14ac:dyDescent="0.35">
      <c r="A47" s="1" t="s">
        <v>201</v>
      </c>
      <c r="B47" s="1" t="s">
        <v>202</v>
      </c>
      <c r="C47">
        <v>157</v>
      </c>
      <c r="D47">
        <v>2</v>
      </c>
      <c r="E47" t="s">
        <v>179</v>
      </c>
      <c r="F47" t="s">
        <v>132</v>
      </c>
    </row>
    <row r="48" spans="1:9" x14ac:dyDescent="0.35">
      <c r="A48" s="1" t="s">
        <v>203</v>
      </c>
      <c r="B48" s="1" t="s">
        <v>204</v>
      </c>
      <c r="C48">
        <v>106</v>
      </c>
      <c r="D48">
        <v>1</v>
      </c>
      <c r="E48" t="s">
        <v>102</v>
      </c>
      <c r="F48" t="s">
        <v>102</v>
      </c>
    </row>
    <row r="49" spans="1:9" x14ac:dyDescent="0.35">
      <c r="A49" s="1" t="s">
        <v>205</v>
      </c>
      <c r="B49" s="1" t="s">
        <v>206</v>
      </c>
      <c r="C49">
        <v>107</v>
      </c>
      <c r="D49">
        <v>2</v>
      </c>
      <c r="E49" t="s">
        <v>203</v>
      </c>
      <c r="F49" t="s">
        <v>105</v>
      </c>
      <c r="G49" t="s">
        <v>944</v>
      </c>
      <c r="H49" t="s">
        <v>565</v>
      </c>
      <c r="I49" t="s">
        <v>1064</v>
      </c>
    </row>
    <row r="50" spans="1:9" x14ac:dyDescent="0.35">
      <c r="A50" s="1" t="s">
        <v>207</v>
      </c>
      <c r="B50" s="1" t="s">
        <v>208</v>
      </c>
      <c r="C50">
        <v>108</v>
      </c>
      <c r="D50">
        <v>2</v>
      </c>
      <c r="E50" t="s">
        <v>203</v>
      </c>
      <c r="F50" t="s">
        <v>108</v>
      </c>
      <c r="G50" t="s">
        <v>944</v>
      </c>
      <c r="H50" t="s">
        <v>565</v>
      </c>
      <c r="I50" t="s">
        <v>1064</v>
      </c>
    </row>
    <row r="51" spans="1:9" x14ac:dyDescent="0.35">
      <c r="A51" s="1" t="s">
        <v>209</v>
      </c>
      <c r="B51" s="1" t="s">
        <v>210</v>
      </c>
      <c r="C51">
        <v>109</v>
      </c>
      <c r="D51">
        <v>2</v>
      </c>
      <c r="E51" t="s">
        <v>203</v>
      </c>
      <c r="F51" t="s">
        <v>111</v>
      </c>
      <c r="G51" t="s">
        <v>944</v>
      </c>
      <c r="H51" t="s">
        <v>565</v>
      </c>
      <c r="I51" t="s">
        <v>1064</v>
      </c>
    </row>
    <row r="52" spans="1:9" x14ac:dyDescent="0.35">
      <c r="A52" s="1" t="s">
        <v>211</v>
      </c>
      <c r="B52" s="1" t="s">
        <v>212</v>
      </c>
      <c r="C52">
        <v>110</v>
      </c>
      <c r="D52">
        <v>2</v>
      </c>
      <c r="E52" t="s">
        <v>203</v>
      </c>
      <c r="F52" t="s">
        <v>114</v>
      </c>
      <c r="G52" t="s">
        <v>944</v>
      </c>
      <c r="H52" t="s">
        <v>565</v>
      </c>
      <c r="I52" t="s">
        <v>1064</v>
      </c>
    </row>
    <row r="53" spans="1:9" x14ac:dyDescent="0.35">
      <c r="A53" s="1" t="s">
        <v>213</v>
      </c>
      <c r="B53" s="1" t="s">
        <v>214</v>
      </c>
      <c r="C53">
        <v>111</v>
      </c>
      <c r="D53">
        <v>2</v>
      </c>
      <c r="E53" t="s">
        <v>203</v>
      </c>
      <c r="F53" t="s">
        <v>117</v>
      </c>
      <c r="G53" t="s">
        <v>944</v>
      </c>
      <c r="H53" t="s">
        <v>565</v>
      </c>
      <c r="I53" t="s">
        <v>1064</v>
      </c>
    </row>
    <row r="54" spans="1:9" x14ac:dyDescent="0.35">
      <c r="A54" s="1" t="s">
        <v>215</v>
      </c>
      <c r="B54" s="1" t="s">
        <v>216</v>
      </c>
      <c r="C54">
        <v>113</v>
      </c>
      <c r="D54">
        <v>2</v>
      </c>
      <c r="E54" t="s">
        <v>203</v>
      </c>
      <c r="F54" t="s">
        <v>120</v>
      </c>
    </row>
    <row r="55" spans="1:9" x14ac:dyDescent="0.35">
      <c r="A55" s="1" t="s">
        <v>217</v>
      </c>
      <c r="B55" s="1" t="s">
        <v>218</v>
      </c>
      <c r="C55">
        <v>114</v>
      </c>
      <c r="D55">
        <v>2</v>
      </c>
      <c r="E55" t="s">
        <v>203</v>
      </c>
      <c r="F55" t="s">
        <v>123</v>
      </c>
      <c r="G55" t="s">
        <v>944</v>
      </c>
      <c r="H55" t="s">
        <v>565</v>
      </c>
      <c r="I55" t="s">
        <v>1064</v>
      </c>
    </row>
    <row r="56" spans="1:9" x14ac:dyDescent="0.35">
      <c r="A56" s="1" t="s">
        <v>219</v>
      </c>
      <c r="B56" s="1" t="s">
        <v>220</v>
      </c>
      <c r="C56">
        <v>115</v>
      </c>
      <c r="D56">
        <v>2</v>
      </c>
      <c r="E56" t="s">
        <v>203</v>
      </c>
      <c r="F56" t="s">
        <v>126</v>
      </c>
      <c r="G56" t="s">
        <v>944</v>
      </c>
      <c r="H56" t="s">
        <v>565</v>
      </c>
      <c r="I56" t="s">
        <v>1064</v>
      </c>
    </row>
    <row r="57" spans="1:9" x14ac:dyDescent="0.35">
      <c r="A57" s="1" t="s">
        <v>221</v>
      </c>
      <c r="B57" s="1" t="s">
        <v>222</v>
      </c>
      <c r="C57">
        <v>116</v>
      </c>
      <c r="D57">
        <v>2</v>
      </c>
      <c r="E57" t="s">
        <v>203</v>
      </c>
      <c r="F57" t="s">
        <v>129</v>
      </c>
      <c r="G57" t="s">
        <v>944</v>
      </c>
      <c r="H57" t="s">
        <v>565</v>
      </c>
      <c r="I57" t="s">
        <v>1064</v>
      </c>
    </row>
    <row r="58" spans="1:9" x14ac:dyDescent="0.35">
      <c r="A58" s="1" t="s">
        <v>223</v>
      </c>
      <c r="B58" s="1" t="s">
        <v>224</v>
      </c>
      <c r="C58">
        <v>117</v>
      </c>
      <c r="D58">
        <v>2</v>
      </c>
      <c r="E58" t="s">
        <v>203</v>
      </c>
      <c r="F58" t="s">
        <v>176</v>
      </c>
    </row>
    <row r="59" spans="1:9" x14ac:dyDescent="0.35">
      <c r="A59" s="1" t="s">
        <v>225</v>
      </c>
      <c r="B59" s="1" t="s">
        <v>226</v>
      </c>
      <c r="C59">
        <v>118</v>
      </c>
      <c r="D59">
        <v>2</v>
      </c>
      <c r="E59" t="s">
        <v>203</v>
      </c>
      <c r="F59" t="s">
        <v>132</v>
      </c>
      <c r="G59" t="s">
        <v>944</v>
      </c>
      <c r="H59" t="s">
        <v>565</v>
      </c>
      <c r="I59" t="s">
        <v>1064</v>
      </c>
    </row>
    <row r="60" spans="1:9" x14ac:dyDescent="0.35">
      <c r="A60" s="1" t="s">
        <v>227</v>
      </c>
      <c r="B60" s="1" t="s">
        <v>228</v>
      </c>
      <c r="C60">
        <v>119</v>
      </c>
      <c r="D60">
        <v>1</v>
      </c>
      <c r="E60" t="s">
        <v>102</v>
      </c>
      <c r="F60" t="s">
        <v>102</v>
      </c>
    </row>
    <row r="61" spans="1:9" x14ac:dyDescent="0.35">
      <c r="A61" s="1" t="s">
        <v>229</v>
      </c>
      <c r="B61" s="1" t="s">
        <v>230</v>
      </c>
      <c r="C61">
        <v>120</v>
      </c>
      <c r="D61">
        <v>2</v>
      </c>
      <c r="E61" t="s">
        <v>227</v>
      </c>
      <c r="F61" t="s">
        <v>105</v>
      </c>
      <c r="G61" t="s">
        <v>944</v>
      </c>
      <c r="H61" t="s">
        <v>564</v>
      </c>
      <c r="I61" t="s">
        <v>1064</v>
      </c>
    </row>
    <row r="62" spans="1:9" x14ac:dyDescent="0.35">
      <c r="A62" s="1" t="s">
        <v>231</v>
      </c>
      <c r="B62" s="1" t="s">
        <v>232</v>
      </c>
      <c r="C62">
        <v>121</v>
      </c>
      <c r="D62">
        <v>2</v>
      </c>
      <c r="E62" t="s">
        <v>227</v>
      </c>
      <c r="F62" t="s">
        <v>108</v>
      </c>
      <c r="G62" t="s">
        <v>944</v>
      </c>
      <c r="H62" t="s">
        <v>564</v>
      </c>
      <c r="I62" t="s">
        <v>1064</v>
      </c>
    </row>
    <row r="63" spans="1:9" x14ac:dyDescent="0.35">
      <c r="A63" s="1" t="s">
        <v>233</v>
      </c>
      <c r="B63" s="1" t="s">
        <v>234</v>
      </c>
      <c r="C63">
        <v>122</v>
      </c>
      <c r="D63">
        <v>2</v>
      </c>
      <c r="E63" t="s">
        <v>227</v>
      </c>
      <c r="F63" t="s">
        <v>111</v>
      </c>
      <c r="G63" t="s">
        <v>944</v>
      </c>
      <c r="H63" t="s">
        <v>564</v>
      </c>
      <c r="I63" t="s">
        <v>1064</v>
      </c>
    </row>
    <row r="64" spans="1:9" x14ac:dyDescent="0.35">
      <c r="A64" s="1" t="s">
        <v>235</v>
      </c>
      <c r="B64" s="1" t="s">
        <v>236</v>
      </c>
      <c r="C64">
        <v>123</v>
      </c>
      <c r="D64">
        <v>2</v>
      </c>
      <c r="E64" t="s">
        <v>227</v>
      </c>
      <c r="F64" t="s">
        <v>114</v>
      </c>
    </row>
    <row r="65" spans="1:9" x14ac:dyDescent="0.35">
      <c r="A65" s="1" t="s">
        <v>237</v>
      </c>
      <c r="B65" s="1" t="s">
        <v>238</v>
      </c>
      <c r="C65">
        <v>124</v>
      </c>
      <c r="D65">
        <v>2</v>
      </c>
      <c r="E65" t="s">
        <v>227</v>
      </c>
      <c r="F65" t="s">
        <v>117</v>
      </c>
    </row>
    <row r="66" spans="1:9" x14ac:dyDescent="0.35">
      <c r="A66" s="1" t="s">
        <v>239</v>
      </c>
      <c r="B66" s="1" t="s">
        <v>240</v>
      </c>
      <c r="C66">
        <v>126</v>
      </c>
      <c r="D66">
        <v>2</v>
      </c>
      <c r="E66" t="s">
        <v>227</v>
      </c>
      <c r="F66" t="s">
        <v>120</v>
      </c>
    </row>
    <row r="67" spans="1:9" x14ac:dyDescent="0.35">
      <c r="A67" s="1" t="s">
        <v>241</v>
      </c>
      <c r="B67" s="1" t="s">
        <v>242</v>
      </c>
      <c r="C67">
        <v>127</v>
      </c>
      <c r="D67">
        <v>2</v>
      </c>
      <c r="E67" t="s">
        <v>227</v>
      </c>
      <c r="F67" t="s">
        <v>123</v>
      </c>
      <c r="G67" t="s">
        <v>944</v>
      </c>
      <c r="H67" t="s">
        <v>564</v>
      </c>
      <c r="I67" t="s">
        <v>1064</v>
      </c>
    </row>
    <row r="68" spans="1:9" x14ac:dyDescent="0.35">
      <c r="A68" s="1" t="s">
        <v>243</v>
      </c>
      <c r="B68" s="1" t="s">
        <v>244</v>
      </c>
      <c r="C68">
        <v>128</v>
      </c>
      <c r="D68">
        <v>2</v>
      </c>
      <c r="E68" t="s">
        <v>227</v>
      </c>
      <c r="F68" t="s">
        <v>126</v>
      </c>
      <c r="G68" t="s">
        <v>944</v>
      </c>
      <c r="H68" t="s">
        <v>564</v>
      </c>
      <c r="I68" t="s">
        <v>1064</v>
      </c>
    </row>
    <row r="69" spans="1:9" x14ac:dyDescent="0.35">
      <c r="A69" s="1" t="s">
        <v>245</v>
      </c>
      <c r="B69" s="1" t="s">
        <v>246</v>
      </c>
      <c r="C69">
        <v>129</v>
      </c>
      <c r="D69">
        <v>2</v>
      </c>
      <c r="E69" t="s">
        <v>227</v>
      </c>
      <c r="F69" t="s">
        <v>129</v>
      </c>
    </row>
    <row r="70" spans="1:9" x14ac:dyDescent="0.35">
      <c r="A70" s="1" t="s">
        <v>247</v>
      </c>
      <c r="B70" s="1" t="s">
        <v>248</v>
      </c>
      <c r="C70">
        <v>130</v>
      </c>
      <c r="D70">
        <v>2</v>
      </c>
      <c r="E70" t="s">
        <v>227</v>
      </c>
      <c r="F70" t="s">
        <v>176</v>
      </c>
    </row>
    <row r="71" spans="1:9" x14ac:dyDescent="0.35">
      <c r="A71" s="1" t="s">
        <v>249</v>
      </c>
      <c r="B71" s="1" t="s">
        <v>250</v>
      </c>
      <c r="C71">
        <v>131</v>
      </c>
      <c r="D71">
        <v>2</v>
      </c>
      <c r="E71" t="s">
        <v>227</v>
      </c>
      <c r="F71" t="s">
        <v>132</v>
      </c>
      <c r="G71" s="13" t="s">
        <v>944</v>
      </c>
      <c r="H71" s="13" t="s">
        <v>564</v>
      </c>
      <c r="I71" s="13" t="s">
        <v>1064</v>
      </c>
    </row>
    <row r="72" spans="1:9" x14ac:dyDescent="0.35">
      <c r="A72" s="1" t="s">
        <v>251</v>
      </c>
      <c r="B72" s="1" t="s">
        <v>252</v>
      </c>
      <c r="C72">
        <v>132</v>
      </c>
      <c r="D72">
        <v>1</v>
      </c>
      <c r="E72" t="s">
        <v>102</v>
      </c>
      <c r="F72" t="s">
        <v>102</v>
      </c>
    </row>
    <row r="73" spans="1:9" x14ac:dyDescent="0.35">
      <c r="A73" s="1" t="s">
        <v>253</v>
      </c>
      <c r="B73" s="1" t="s">
        <v>254</v>
      </c>
      <c r="C73">
        <v>133</v>
      </c>
      <c r="D73">
        <v>2</v>
      </c>
      <c r="E73" t="s">
        <v>251</v>
      </c>
      <c r="F73" t="s">
        <v>105</v>
      </c>
      <c r="G73" t="s">
        <v>555</v>
      </c>
      <c r="H73" t="s">
        <v>555</v>
      </c>
      <c r="I73" t="s">
        <v>1064</v>
      </c>
    </row>
    <row r="74" spans="1:9" x14ac:dyDescent="0.35">
      <c r="A74" s="1" t="s">
        <v>255</v>
      </c>
      <c r="B74" s="1" t="s">
        <v>256</v>
      </c>
      <c r="C74">
        <v>136</v>
      </c>
      <c r="D74">
        <v>2</v>
      </c>
      <c r="E74" t="s">
        <v>251</v>
      </c>
      <c r="F74" t="s">
        <v>114</v>
      </c>
      <c r="G74" t="s">
        <v>555</v>
      </c>
      <c r="H74" t="s">
        <v>555</v>
      </c>
      <c r="I74" t="s">
        <v>1064</v>
      </c>
    </row>
    <row r="75" spans="1:9" x14ac:dyDescent="0.35">
      <c r="A75" s="1" t="s">
        <v>257</v>
      </c>
      <c r="B75" s="1" t="s">
        <v>258</v>
      </c>
      <c r="C75">
        <v>158</v>
      </c>
      <c r="D75">
        <v>1</v>
      </c>
      <c r="E75" t="s">
        <v>102</v>
      </c>
      <c r="F75" t="s">
        <v>102</v>
      </c>
    </row>
    <row r="76" spans="1:9" x14ac:dyDescent="0.35">
      <c r="A76" s="1" t="s">
        <v>259</v>
      </c>
      <c r="B76" s="1" t="s">
        <v>260</v>
      </c>
      <c r="C76">
        <v>159</v>
      </c>
      <c r="D76">
        <v>2</v>
      </c>
      <c r="E76" t="s">
        <v>257</v>
      </c>
      <c r="F76" t="s">
        <v>105</v>
      </c>
      <c r="G76" t="s">
        <v>555</v>
      </c>
      <c r="H76" t="s">
        <v>555</v>
      </c>
      <c r="I76" t="s">
        <v>1064</v>
      </c>
    </row>
    <row r="77" spans="1:9" x14ac:dyDescent="0.35">
      <c r="A77" s="1" t="s">
        <v>261</v>
      </c>
      <c r="B77" s="1" t="s">
        <v>262</v>
      </c>
      <c r="C77">
        <v>162</v>
      </c>
      <c r="D77">
        <v>2</v>
      </c>
      <c r="E77" t="s">
        <v>257</v>
      </c>
      <c r="F77" t="s">
        <v>114</v>
      </c>
      <c r="G77" t="s">
        <v>555</v>
      </c>
      <c r="H77" t="s">
        <v>555</v>
      </c>
      <c r="I77" t="s">
        <v>1064</v>
      </c>
    </row>
    <row r="78" spans="1:9" x14ac:dyDescent="0.35">
      <c r="A78" s="1" t="s">
        <v>575</v>
      </c>
      <c r="B78" s="1" t="s">
        <v>576</v>
      </c>
      <c r="C78">
        <v>163</v>
      </c>
      <c r="D78">
        <v>1</v>
      </c>
      <c r="E78" t="s">
        <v>102</v>
      </c>
      <c r="F78" t="s">
        <v>102</v>
      </c>
    </row>
    <row r="79" spans="1:9" x14ac:dyDescent="0.35">
      <c r="A79" s="1" t="s">
        <v>577</v>
      </c>
      <c r="B79" s="1" t="s">
        <v>563</v>
      </c>
      <c r="C79">
        <v>164</v>
      </c>
      <c r="D79">
        <v>2</v>
      </c>
      <c r="E79" t="s">
        <v>575</v>
      </c>
      <c r="F79" t="s">
        <v>117</v>
      </c>
      <c r="G79" t="s">
        <v>555</v>
      </c>
      <c r="H79" t="s">
        <v>555</v>
      </c>
      <c r="I79" t="s">
        <v>1064</v>
      </c>
    </row>
    <row r="80" spans="1:9" x14ac:dyDescent="0.35">
      <c r="A80" s="1" t="s">
        <v>1098</v>
      </c>
      <c r="B80" s="1" t="s">
        <v>1099</v>
      </c>
      <c r="C80" s="13">
        <v>166</v>
      </c>
      <c r="D80" s="13">
        <v>1</v>
      </c>
      <c r="E80" s="13" t="s">
        <v>102</v>
      </c>
      <c r="F80" s="13" t="s">
        <v>102</v>
      </c>
      <c r="G80" s="13"/>
      <c r="H80" s="13"/>
      <c r="I80" s="13"/>
    </row>
    <row r="81" spans="1:9" x14ac:dyDescent="0.35">
      <c r="A81" s="1" t="s">
        <v>1100</v>
      </c>
      <c r="B81" s="1" t="s">
        <v>1097</v>
      </c>
      <c r="C81" s="13">
        <v>167</v>
      </c>
      <c r="D81" s="13">
        <v>2</v>
      </c>
      <c r="E81" s="13" t="s">
        <v>1098</v>
      </c>
      <c r="F81" s="13" t="s">
        <v>1101</v>
      </c>
      <c r="G81" s="13" t="s">
        <v>1103</v>
      </c>
      <c r="H81" s="13" t="s">
        <v>1103</v>
      </c>
      <c r="I81" s="13" t="s">
        <v>1104</v>
      </c>
    </row>
    <row r="82" spans="1:9" x14ac:dyDescent="0.35">
      <c r="A82" s="1" t="s">
        <v>105</v>
      </c>
      <c r="B82" s="1" t="s">
        <v>263</v>
      </c>
      <c r="D82">
        <v>1</v>
      </c>
      <c r="E82" t="s">
        <v>264</v>
      </c>
      <c r="F82" t="s">
        <v>264</v>
      </c>
    </row>
    <row r="83" spans="1:9" x14ac:dyDescent="0.35">
      <c r="A83" s="1" t="s">
        <v>108</v>
      </c>
      <c r="B83" s="1" t="s">
        <v>265</v>
      </c>
      <c r="D83">
        <v>1</v>
      </c>
      <c r="E83" t="s">
        <v>264</v>
      </c>
      <c r="F83" t="s">
        <v>264</v>
      </c>
    </row>
    <row r="84" spans="1:9" x14ac:dyDescent="0.35">
      <c r="A84" s="1" t="s">
        <v>111</v>
      </c>
      <c r="B84" s="1" t="s">
        <v>266</v>
      </c>
      <c r="D84">
        <v>1</v>
      </c>
      <c r="E84" t="s">
        <v>264</v>
      </c>
      <c r="F84" t="s">
        <v>264</v>
      </c>
    </row>
    <row r="85" spans="1:9" x14ac:dyDescent="0.35">
      <c r="A85" s="1" t="s">
        <v>114</v>
      </c>
      <c r="B85" s="1" t="s">
        <v>267</v>
      </c>
      <c r="D85">
        <v>1</v>
      </c>
      <c r="E85" t="s">
        <v>264</v>
      </c>
      <c r="F85" t="s">
        <v>264</v>
      </c>
    </row>
    <row r="86" spans="1:9" x14ac:dyDescent="0.35">
      <c r="A86" s="1" t="s">
        <v>117</v>
      </c>
      <c r="B86" s="1" t="s">
        <v>268</v>
      </c>
      <c r="D86">
        <v>1</v>
      </c>
      <c r="E86" t="s">
        <v>264</v>
      </c>
      <c r="F86" t="s">
        <v>264</v>
      </c>
    </row>
    <row r="87" spans="1:9" x14ac:dyDescent="0.35">
      <c r="A87" s="1" t="s">
        <v>120</v>
      </c>
      <c r="B87" s="1" t="s">
        <v>269</v>
      </c>
      <c r="D87">
        <v>1</v>
      </c>
      <c r="E87" t="s">
        <v>264</v>
      </c>
      <c r="F87" t="s">
        <v>264</v>
      </c>
    </row>
    <row r="88" spans="1:9" x14ac:dyDescent="0.35">
      <c r="A88" s="1" t="s">
        <v>123</v>
      </c>
      <c r="B88" s="1" t="s">
        <v>270</v>
      </c>
      <c r="D88">
        <v>1</v>
      </c>
      <c r="E88" t="s">
        <v>264</v>
      </c>
      <c r="F88" t="s">
        <v>264</v>
      </c>
    </row>
    <row r="89" spans="1:9" x14ac:dyDescent="0.35">
      <c r="A89" s="1" t="s">
        <v>126</v>
      </c>
      <c r="B89" s="1" t="s">
        <v>271</v>
      </c>
      <c r="D89">
        <v>1</v>
      </c>
      <c r="E89" t="s">
        <v>264</v>
      </c>
      <c r="F89" t="s">
        <v>264</v>
      </c>
    </row>
    <row r="90" spans="1:9" x14ac:dyDescent="0.35">
      <c r="A90" s="1" t="s">
        <v>129</v>
      </c>
      <c r="B90" s="1" t="s">
        <v>272</v>
      </c>
      <c r="D90">
        <v>1</v>
      </c>
      <c r="E90" t="s">
        <v>264</v>
      </c>
      <c r="F90" t="s">
        <v>264</v>
      </c>
    </row>
    <row r="91" spans="1:9" x14ac:dyDescent="0.35">
      <c r="A91" s="1" t="s">
        <v>176</v>
      </c>
      <c r="B91" s="1" t="s">
        <v>273</v>
      </c>
      <c r="D91">
        <v>1</v>
      </c>
      <c r="E91" t="s">
        <v>264</v>
      </c>
      <c r="F91" t="s">
        <v>264</v>
      </c>
    </row>
    <row r="92" spans="1:9" x14ac:dyDescent="0.35">
      <c r="A92" s="1" t="s">
        <v>132</v>
      </c>
      <c r="B92" s="1" t="s">
        <v>274</v>
      </c>
      <c r="D92">
        <v>1</v>
      </c>
      <c r="E92" t="s">
        <v>264</v>
      </c>
      <c r="F92" t="s">
        <v>264</v>
      </c>
    </row>
    <row r="93" spans="1:9" x14ac:dyDescent="0.35">
      <c r="A93" s="1" t="s">
        <v>573</v>
      </c>
      <c r="B93" s="1" t="s">
        <v>574</v>
      </c>
      <c r="D93">
        <v>1</v>
      </c>
      <c r="E93" t="s">
        <v>264</v>
      </c>
      <c r="F93" t="s">
        <v>264</v>
      </c>
    </row>
    <row r="94" spans="1:9" x14ac:dyDescent="0.35">
      <c r="A94" s="1" t="s">
        <v>1101</v>
      </c>
      <c r="B94" s="1" t="s">
        <v>1102</v>
      </c>
      <c r="D94">
        <v>1</v>
      </c>
      <c r="E94" t="s">
        <v>264</v>
      </c>
      <c r="F94" t="s">
        <v>264</v>
      </c>
    </row>
  </sheetData>
  <pageMargins left="0.511811024" right="0.511811024" top="0.78740157499999996" bottom="0.78740157499999996" header="0.31496062000000002" footer="0.31496062000000002"/>
  <customProperties>
    <customPr name="_pios_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2"/>
  <dimension ref="A2:E43"/>
  <sheetViews>
    <sheetView workbookViewId="0"/>
  </sheetViews>
  <sheetFormatPr defaultRowHeight="14.5" x14ac:dyDescent="0.35"/>
  <cols>
    <col min="1" max="1" width="74" customWidth="1"/>
    <col min="3" max="3" width="11.54296875" bestFit="1" customWidth="1"/>
  </cols>
  <sheetData>
    <row r="2" spans="1:5" x14ac:dyDescent="0.35">
      <c r="A2" s="7" t="s">
        <v>945</v>
      </c>
      <c r="B2" s="1"/>
      <c r="C2" s="1"/>
      <c r="D2" s="1"/>
      <c r="E2" s="1"/>
    </row>
    <row r="3" spans="1:5" x14ac:dyDescent="0.35">
      <c r="A3" s="7" t="s">
        <v>946</v>
      </c>
      <c r="B3" s="1" t="s">
        <v>974</v>
      </c>
      <c r="C3" s="1" t="s">
        <v>1050</v>
      </c>
      <c r="D3" s="1"/>
      <c r="E3" s="1"/>
    </row>
    <row r="4" spans="1:5" x14ac:dyDescent="0.35">
      <c r="A4" t="s">
        <v>947</v>
      </c>
      <c r="B4" s="10" t="s">
        <v>975</v>
      </c>
      <c r="C4" s="10" t="s">
        <v>982</v>
      </c>
      <c r="D4" s="10" t="s">
        <v>968</v>
      </c>
      <c r="E4" s="10" t="s">
        <v>964</v>
      </c>
    </row>
    <row r="5" spans="1:5" x14ac:dyDescent="0.35">
      <c r="A5" s="8" t="s">
        <v>948</v>
      </c>
      <c r="B5" s="10" t="s">
        <v>1051</v>
      </c>
      <c r="C5" s="10" t="s">
        <v>981</v>
      </c>
      <c r="D5" s="10" t="s">
        <v>969</v>
      </c>
      <c r="E5" s="10" t="s">
        <v>959</v>
      </c>
    </row>
    <row r="6" spans="1:5" x14ac:dyDescent="0.35">
      <c r="A6" s="8" t="s">
        <v>949</v>
      </c>
      <c r="B6" s="1"/>
      <c r="C6" s="1"/>
      <c r="D6" s="1"/>
      <c r="E6" s="1"/>
    </row>
    <row r="7" spans="1:5" x14ac:dyDescent="0.35">
      <c r="A7" s="8" t="s">
        <v>950</v>
      </c>
      <c r="B7" s="1"/>
      <c r="C7" s="1"/>
      <c r="D7" s="1"/>
      <c r="E7" s="1"/>
    </row>
    <row r="8" spans="1:5" x14ac:dyDescent="0.35">
      <c r="A8" s="8" t="s">
        <v>951</v>
      </c>
      <c r="B8" s="1" t="s">
        <v>983</v>
      </c>
      <c r="C8" s="10" t="s">
        <v>981</v>
      </c>
      <c r="D8" s="1" t="s">
        <v>971</v>
      </c>
      <c r="E8" s="10" t="s">
        <v>960</v>
      </c>
    </row>
    <row r="9" spans="1:5" x14ac:dyDescent="0.35">
      <c r="A9" s="7" t="s">
        <v>952</v>
      </c>
      <c r="B9" s="1" t="s">
        <v>1016</v>
      </c>
      <c r="C9" s="1" t="s">
        <v>1017</v>
      </c>
      <c r="D9" s="1"/>
      <c r="E9" s="10" t="s">
        <v>1059</v>
      </c>
    </row>
    <row r="10" spans="1:5" x14ac:dyDescent="0.35">
      <c r="A10" s="7" t="s">
        <v>953</v>
      </c>
      <c r="B10" s="10" t="s">
        <v>976</v>
      </c>
      <c r="C10" s="1" t="s">
        <v>1050</v>
      </c>
      <c r="D10" s="1"/>
      <c r="E10" s="1"/>
    </row>
    <row r="11" spans="1:5" x14ac:dyDescent="0.35">
      <c r="A11" s="8" t="s">
        <v>984</v>
      </c>
      <c r="B11" s="10" t="s">
        <v>977</v>
      </c>
      <c r="C11" s="10" t="s">
        <v>982</v>
      </c>
      <c r="D11" s="10" t="s">
        <v>970</v>
      </c>
      <c r="E11" s="10" t="s">
        <v>961</v>
      </c>
    </row>
    <row r="12" spans="1:5" x14ac:dyDescent="0.35">
      <c r="A12" s="8" t="s">
        <v>985</v>
      </c>
      <c r="B12" s="10" t="s">
        <v>978</v>
      </c>
      <c r="C12" s="10" t="s">
        <v>982</v>
      </c>
      <c r="D12" s="10" t="s">
        <v>970</v>
      </c>
      <c r="E12" s="10" t="s">
        <v>962</v>
      </c>
    </row>
    <row r="13" spans="1:5" x14ac:dyDescent="0.35">
      <c r="A13" s="8" t="s">
        <v>1031</v>
      </c>
      <c r="B13" s="10" t="s">
        <v>979</v>
      </c>
      <c r="C13" s="10" t="s">
        <v>982</v>
      </c>
      <c r="D13" s="10" t="s">
        <v>970</v>
      </c>
      <c r="E13" s="10" t="s">
        <v>963</v>
      </c>
    </row>
    <row r="14" spans="1:5" x14ac:dyDescent="0.35">
      <c r="A14" s="8" t="s">
        <v>986</v>
      </c>
      <c r="B14" s="10" t="s">
        <v>980</v>
      </c>
      <c r="C14" s="10" t="s">
        <v>982</v>
      </c>
      <c r="D14" s="10" t="s">
        <v>970</v>
      </c>
      <c r="E14" s="10" t="s">
        <v>965</v>
      </c>
    </row>
    <row r="15" spans="1:5" x14ac:dyDescent="0.35">
      <c r="A15" s="8" t="s">
        <v>987</v>
      </c>
      <c r="B15" s="1" t="s">
        <v>991</v>
      </c>
      <c r="C15" s="10" t="s">
        <v>982</v>
      </c>
      <c r="D15" s="10" t="s">
        <v>970</v>
      </c>
      <c r="E15" s="10" t="s">
        <v>966</v>
      </c>
    </row>
    <row r="16" spans="1:5" x14ac:dyDescent="0.35">
      <c r="A16" s="8" t="s">
        <v>988</v>
      </c>
      <c r="B16" s="1" t="s">
        <v>992</v>
      </c>
      <c r="C16" s="10" t="s">
        <v>982</v>
      </c>
      <c r="D16" s="10" t="s">
        <v>970</v>
      </c>
      <c r="E16" s="10" t="s">
        <v>967</v>
      </c>
    </row>
    <row r="17" spans="1:5" x14ac:dyDescent="0.35">
      <c r="A17" s="8" t="s">
        <v>989</v>
      </c>
      <c r="B17" s="1" t="s">
        <v>993</v>
      </c>
      <c r="C17" s="10" t="s">
        <v>982</v>
      </c>
      <c r="D17" s="1" t="s">
        <v>970</v>
      </c>
      <c r="E17" s="10" t="s">
        <v>998</v>
      </c>
    </row>
    <row r="18" spans="1:5" x14ac:dyDescent="0.35">
      <c r="A18" s="8" t="s">
        <v>990</v>
      </c>
      <c r="B18" s="1" t="s">
        <v>994</v>
      </c>
      <c r="C18" s="10" t="s">
        <v>982</v>
      </c>
      <c r="D18" s="1" t="s">
        <v>970</v>
      </c>
      <c r="E18" s="10" t="s">
        <v>999</v>
      </c>
    </row>
    <row r="19" spans="1:5" x14ac:dyDescent="0.35">
      <c r="A19" s="8" t="s">
        <v>1005</v>
      </c>
      <c r="B19" s="1" t="s">
        <v>995</v>
      </c>
      <c r="C19" s="10" t="s">
        <v>982</v>
      </c>
      <c r="D19" s="1" t="s">
        <v>970</v>
      </c>
      <c r="E19" s="10" t="s">
        <v>1000</v>
      </c>
    </row>
    <row r="20" spans="1:5" x14ac:dyDescent="0.35">
      <c r="A20" s="8" t="s">
        <v>1032</v>
      </c>
      <c r="B20" s="1" t="s">
        <v>996</v>
      </c>
      <c r="C20" s="10" t="s">
        <v>982</v>
      </c>
      <c r="D20" s="1" t="s">
        <v>970</v>
      </c>
      <c r="E20" s="10" t="s">
        <v>1001</v>
      </c>
    </row>
    <row r="21" spans="1:5" x14ac:dyDescent="0.35">
      <c r="A21" s="8" t="s">
        <v>1006</v>
      </c>
      <c r="B21" s="1" t="s">
        <v>997</v>
      </c>
      <c r="C21" s="10" t="s">
        <v>982</v>
      </c>
      <c r="D21" s="1" t="s">
        <v>970</v>
      </c>
      <c r="E21" s="10" t="s">
        <v>1002</v>
      </c>
    </row>
    <row r="22" spans="1:5" x14ac:dyDescent="0.35">
      <c r="A22" s="8" t="s">
        <v>1007</v>
      </c>
      <c r="B22" s="1" t="s">
        <v>1019</v>
      </c>
      <c r="C22" s="10" t="s">
        <v>982</v>
      </c>
      <c r="D22" s="1" t="s">
        <v>970</v>
      </c>
      <c r="E22" s="10" t="s">
        <v>1003</v>
      </c>
    </row>
    <row r="23" spans="1:5" x14ac:dyDescent="0.35">
      <c r="A23" s="8" t="s">
        <v>1008</v>
      </c>
      <c r="B23" s="1" t="s">
        <v>1052</v>
      </c>
      <c r="C23" s="10" t="s">
        <v>982</v>
      </c>
      <c r="D23" s="1" t="s">
        <v>971</v>
      </c>
      <c r="E23" s="10" t="s">
        <v>1004</v>
      </c>
    </row>
    <row r="24" spans="1:5" x14ac:dyDescent="0.35">
      <c r="A24" s="7" t="s">
        <v>954</v>
      </c>
      <c r="B24" s="1" t="s">
        <v>1018</v>
      </c>
      <c r="C24" s="1" t="s">
        <v>1017</v>
      </c>
      <c r="D24" s="1"/>
      <c r="E24" s="10" t="s">
        <v>1053</v>
      </c>
    </row>
    <row r="25" spans="1:5" x14ac:dyDescent="0.35">
      <c r="A25" s="7" t="s">
        <v>955</v>
      </c>
      <c r="B25" s="1" t="s">
        <v>1011</v>
      </c>
      <c r="C25" s="1" t="s">
        <v>1050</v>
      </c>
      <c r="D25" s="1"/>
      <c r="E25" s="1"/>
    </row>
    <row r="26" spans="1:5" x14ac:dyDescent="0.35">
      <c r="A26" s="8" t="s">
        <v>1037</v>
      </c>
      <c r="B26" s="1" t="s">
        <v>1012</v>
      </c>
      <c r="C26" s="1" t="s">
        <v>982</v>
      </c>
      <c r="D26" s="1" t="s">
        <v>971</v>
      </c>
      <c r="E26" s="10" t="s">
        <v>1036</v>
      </c>
    </row>
    <row r="27" spans="1:5" x14ac:dyDescent="0.35">
      <c r="A27" s="8" t="s">
        <v>1038</v>
      </c>
      <c r="B27" s="1" t="s">
        <v>1035</v>
      </c>
      <c r="C27" s="10" t="s">
        <v>982</v>
      </c>
      <c r="D27" s="1" t="s">
        <v>969</v>
      </c>
      <c r="E27" s="11" t="s">
        <v>973</v>
      </c>
    </row>
    <row r="28" spans="1:5" x14ac:dyDescent="0.35">
      <c r="A28" s="8" t="s">
        <v>1040</v>
      </c>
      <c r="B28" s="1" t="s">
        <v>1054</v>
      </c>
      <c r="C28" s="10" t="s">
        <v>982</v>
      </c>
      <c r="D28" s="1" t="s">
        <v>969</v>
      </c>
      <c r="E28" s="11" t="s">
        <v>972</v>
      </c>
    </row>
    <row r="29" spans="1:5" x14ac:dyDescent="0.35">
      <c r="A29" s="8" t="s">
        <v>1040</v>
      </c>
      <c r="B29" s="1" t="s">
        <v>1054</v>
      </c>
      <c r="C29" s="10" t="s">
        <v>982</v>
      </c>
      <c r="D29" s="1" t="s">
        <v>970</v>
      </c>
      <c r="E29" s="11" t="s">
        <v>1039</v>
      </c>
    </row>
    <row r="30" spans="1:5" x14ac:dyDescent="0.35">
      <c r="A30" s="8" t="s">
        <v>1041</v>
      </c>
      <c r="B30" s="1"/>
      <c r="C30" s="1"/>
      <c r="D30" s="1"/>
      <c r="E30" s="1"/>
    </row>
    <row r="31" spans="1:5" x14ac:dyDescent="0.35">
      <c r="A31" s="8" t="s">
        <v>1043</v>
      </c>
      <c r="B31" s="1" t="s">
        <v>1057</v>
      </c>
      <c r="C31" s="10" t="s">
        <v>982</v>
      </c>
      <c r="D31" s="1" t="s">
        <v>971</v>
      </c>
      <c r="E31" s="10" t="s">
        <v>1042</v>
      </c>
    </row>
    <row r="32" spans="1:5" x14ac:dyDescent="0.35">
      <c r="A32" s="8" t="s">
        <v>1044</v>
      </c>
      <c r="B32" s="1"/>
      <c r="C32" s="1"/>
      <c r="D32" s="1"/>
      <c r="E32" s="1"/>
    </row>
    <row r="33" spans="1:5" x14ac:dyDescent="0.35">
      <c r="A33" s="7" t="s">
        <v>1029</v>
      </c>
      <c r="B33" s="1" t="s">
        <v>1020</v>
      </c>
      <c r="C33" s="1" t="s">
        <v>1017</v>
      </c>
      <c r="D33" s="1"/>
      <c r="E33" s="10" t="s">
        <v>1056</v>
      </c>
    </row>
    <row r="34" spans="1:5" x14ac:dyDescent="0.35">
      <c r="A34" s="7" t="s">
        <v>956</v>
      </c>
      <c r="B34" s="1" t="s">
        <v>1013</v>
      </c>
      <c r="C34" s="1" t="s">
        <v>1050</v>
      </c>
      <c r="D34" s="1"/>
      <c r="E34" s="1"/>
    </row>
    <row r="35" spans="1:5" x14ac:dyDescent="0.35">
      <c r="A35" s="8" t="s">
        <v>957</v>
      </c>
      <c r="B35" s="1" t="s">
        <v>1014</v>
      </c>
      <c r="C35" s="10" t="s">
        <v>982</v>
      </c>
      <c r="D35" s="1" t="s">
        <v>971</v>
      </c>
      <c r="E35" s="1" t="s">
        <v>1009</v>
      </c>
    </row>
    <row r="36" spans="1:5" x14ac:dyDescent="0.35">
      <c r="A36" s="8" t="s">
        <v>958</v>
      </c>
      <c r="B36" s="1" t="s">
        <v>1055</v>
      </c>
      <c r="C36" s="10" t="s">
        <v>982</v>
      </c>
      <c r="D36" s="1" t="s">
        <v>971</v>
      </c>
      <c r="E36" s="1" t="s">
        <v>1010</v>
      </c>
    </row>
    <row r="37" spans="1:5" x14ac:dyDescent="0.35">
      <c r="A37" s="8" t="s">
        <v>958</v>
      </c>
      <c r="B37" s="1" t="s">
        <v>1055</v>
      </c>
      <c r="C37" s="10" t="s">
        <v>982</v>
      </c>
      <c r="D37" s="10" t="s">
        <v>968</v>
      </c>
      <c r="E37" s="10" t="s">
        <v>964</v>
      </c>
    </row>
    <row r="38" spans="1:5" x14ac:dyDescent="0.35">
      <c r="A38" s="7" t="s">
        <v>1030</v>
      </c>
      <c r="B38" s="1" t="s">
        <v>1021</v>
      </c>
      <c r="C38" s="1" t="s">
        <v>1017</v>
      </c>
      <c r="D38" s="1"/>
      <c r="E38" s="10" t="s">
        <v>1058</v>
      </c>
    </row>
    <row r="39" spans="1:5" x14ac:dyDescent="0.35">
      <c r="A39" s="7" t="s">
        <v>1015</v>
      </c>
      <c r="B39" s="9" t="s">
        <v>1022</v>
      </c>
      <c r="C39" t="s">
        <v>1017</v>
      </c>
      <c r="E39" s="10" t="s">
        <v>1023</v>
      </c>
    </row>
    <row r="40" spans="1:5" x14ac:dyDescent="0.35">
      <c r="A40" t="s">
        <v>1034</v>
      </c>
      <c r="B40" s="9" t="s">
        <v>1026</v>
      </c>
      <c r="C40" t="s">
        <v>1027</v>
      </c>
      <c r="D40" s="9" t="s">
        <v>971</v>
      </c>
      <c r="E40" s="10" t="s">
        <v>1024</v>
      </c>
    </row>
    <row r="41" spans="1:5" x14ac:dyDescent="0.35">
      <c r="A41" t="s">
        <v>1033</v>
      </c>
      <c r="B41" s="10" t="s">
        <v>1025</v>
      </c>
      <c r="C41" s="1" t="s">
        <v>1028</v>
      </c>
      <c r="D41" s="9" t="s">
        <v>971</v>
      </c>
      <c r="E41" s="10" t="s">
        <v>1024</v>
      </c>
    </row>
    <row r="42" spans="1:5" x14ac:dyDescent="0.35">
      <c r="A42" t="s">
        <v>1045</v>
      </c>
      <c r="B42" s="9" t="s">
        <v>1047</v>
      </c>
      <c r="C42" t="s">
        <v>1045</v>
      </c>
      <c r="D42" t="s">
        <v>1048</v>
      </c>
      <c r="E42" s="10" t="s">
        <v>1046</v>
      </c>
    </row>
    <row r="43" spans="1:5" x14ac:dyDescent="0.35">
      <c r="A43" t="s">
        <v>1045</v>
      </c>
      <c r="B43" s="9" t="s">
        <v>1047</v>
      </c>
      <c r="C43" t="s">
        <v>1045</v>
      </c>
      <c r="D43" t="s">
        <v>1049</v>
      </c>
      <c r="E43" s="10" t="s">
        <v>1025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_pios_id" r:id="rId2"/>
  </customProperties>
  <ignoredErrors>
    <ignoredError sqref="B6:E8 B39:G39 G33 G34 B24:D24 D25:E25 B30:G30 F25:H27 H30:H39 B40:H41 D35:G37 F28:H28 D28:E28 D27:E27 C26:D26 C29:E29 C27 C28 E26 G32 G31 F31 B32:F32 B33:D33 D34:F34 F33 B31:E31 B42 B43:E43 C4:E4 C5:E5 B3:B5 D10:E10 C11:H22 C23:H23 B10:B23 F24:H24 B25:B29 B34:B37 B38:D38 F38:G38 B9:D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Menu</vt:lpstr>
      <vt:lpstr>Rateios</vt:lpstr>
      <vt:lpstr>Receita Líquida</vt:lpstr>
      <vt:lpstr>Origens</vt:lpstr>
      <vt:lpstr>Agrupamento</vt:lpstr>
      <vt:lpstr>Flat</vt:lpstr>
      <vt:lpstr>Escritórios</vt:lpstr>
      <vt:lpstr>Planos de Resultado</vt:lpstr>
      <vt:lpstr>DFC</vt:lpstr>
      <vt:lpstr>Câmbio</vt:lpstr>
      <vt:lpstr>OPEXPonte</vt:lpstr>
    </vt:vector>
  </TitlesOfParts>
  <Company>Leica Geosystems AG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Celso Leite</dc:creator>
  <cp:lastModifiedBy>LEITE Celso</cp:lastModifiedBy>
  <dcterms:created xsi:type="dcterms:W3CDTF">2015-07-28T18:55:17Z</dcterms:created>
  <dcterms:modified xsi:type="dcterms:W3CDTF">2019-09-03T14:27:52Z</dcterms:modified>
</cp:coreProperties>
</file>