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1.xml" ContentType="application/vnd.openxmlformats-officedocument.spreadsheetml.table+xml"/>
  <Override PartName="/xl/customProperty4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cel\OneDrive - Hexagon\RH\Folhas\"/>
    </mc:Choice>
  </mc:AlternateContent>
  <xr:revisionPtr revIDLastSave="186" documentId="14_{216DCC0A-289D-4241-BB06-E37D49B238C0}" xr6:coauthVersionLast="41" xr6:coauthVersionMax="41" xr10:uidLastSave="{77E290D9-D283-466B-833C-02FBB49A48FE}"/>
  <bookViews>
    <workbookView xWindow="-110" yWindow="-110" windowWidth="19420" windowHeight="10420" activeTab="1" xr2:uid="{00000000-000D-0000-FFFF-FFFF00000000}"/>
  </bookViews>
  <sheets>
    <sheet name="Menu" sheetId="1" r:id="rId1"/>
    <sheet name="Conferência" sheetId="2" r:id="rId2"/>
    <sheet name="Proventos" sheetId="3" r:id="rId3"/>
    <sheet name="Proventos 2017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T14" i="2" l="1"/>
  <c r="BT19" i="2" s="1"/>
  <c r="BT57" i="2"/>
  <c r="BT55" i="2"/>
  <c r="BT56" i="2"/>
  <c r="BT49" i="2"/>
  <c r="BT47" i="2"/>
  <c r="BT48" i="2"/>
  <c r="BT32" i="2"/>
  <c r="BT31" i="2"/>
  <c r="BT30" i="2"/>
  <c r="BT29" i="2"/>
  <c r="BT22" i="2"/>
  <c r="BT21" i="2"/>
  <c r="BT20" i="2"/>
  <c r="BS14" i="2" l="1"/>
  <c r="BS52" i="2"/>
  <c r="BS44" i="2"/>
  <c r="BS57" i="2" l="1"/>
  <c r="BS55" i="2"/>
  <c r="BS56" i="2"/>
  <c r="BS49" i="2"/>
  <c r="BS47" i="2"/>
  <c r="BS48" i="2"/>
  <c r="BS32" i="2"/>
  <c r="BS31" i="2"/>
  <c r="BS30" i="2"/>
  <c r="BS29" i="2"/>
  <c r="BS22" i="2"/>
  <c r="BS21" i="2"/>
  <c r="BS20" i="2"/>
  <c r="BS19" i="2"/>
  <c r="BR52" i="2" l="1"/>
  <c r="BR44" i="2"/>
  <c r="BR14" i="2"/>
  <c r="BR57" i="2" l="1"/>
  <c r="BR55" i="2"/>
  <c r="BR56" i="2"/>
  <c r="BR49" i="2"/>
  <c r="BR47" i="2"/>
  <c r="BR48" i="2"/>
  <c r="BR32" i="2"/>
  <c r="BR31" i="2"/>
  <c r="BR30" i="2"/>
  <c r="BR29" i="2"/>
  <c r="BR22" i="2"/>
  <c r="BR21" i="2"/>
  <c r="BR20" i="2"/>
  <c r="BR19" i="2"/>
  <c r="BQ14" i="2" l="1"/>
  <c r="BQ52" i="2"/>
  <c r="BQ44" i="2"/>
  <c r="BQ57" i="2" l="1"/>
  <c r="BQ55" i="2"/>
  <c r="BQ56" i="2"/>
  <c r="BQ49" i="2"/>
  <c r="BQ47" i="2"/>
  <c r="BQ48" i="2"/>
  <c r="BQ32" i="2"/>
  <c r="BQ31" i="2"/>
  <c r="BQ30" i="2"/>
  <c r="BQ29" i="2"/>
  <c r="BQ22" i="2"/>
  <c r="BQ21" i="2"/>
  <c r="BQ20" i="2"/>
  <c r="BQ19" i="2"/>
  <c r="BP52" i="2" l="1"/>
  <c r="BP44" i="2"/>
  <c r="BP48" i="2" s="1"/>
  <c r="BP14" i="2"/>
  <c r="BP19" i="2" s="1"/>
  <c r="BP57" i="2"/>
  <c r="BP56" i="2"/>
  <c r="BP55" i="2"/>
  <c r="BP49" i="2"/>
  <c r="BP47" i="2"/>
  <c r="BP32" i="2"/>
  <c r="BP31" i="2"/>
  <c r="BP30" i="2"/>
  <c r="BP29" i="2"/>
  <c r="BP22" i="2"/>
  <c r="BP21" i="2"/>
  <c r="BP20" i="2"/>
  <c r="BO14" i="2" l="1"/>
  <c r="BO57" i="2" l="1"/>
  <c r="BO56" i="2"/>
  <c r="BO55" i="2"/>
  <c r="BO49" i="2"/>
  <c r="BO48" i="2"/>
  <c r="BO47" i="2"/>
  <c r="BO32" i="2"/>
  <c r="BO31" i="2"/>
  <c r="BO30" i="2"/>
  <c r="BO29" i="2"/>
  <c r="BO22" i="2"/>
  <c r="BO21" i="2"/>
  <c r="BO20" i="2"/>
  <c r="BO19" i="2"/>
  <c r="BN24" i="2" l="1"/>
  <c r="BN14" i="2"/>
  <c r="BN57" i="2" l="1"/>
  <c r="BN56" i="2"/>
  <c r="BN55" i="2"/>
  <c r="BN49" i="2"/>
  <c r="BN48" i="2"/>
  <c r="BN47" i="2"/>
  <c r="BN32" i="2"/>
  <c r="BN31" i="2"/>
  <c r="BN30" i="2"/>
  <c r="BN29" i="2"/>
  <c r="BN22" i="2"/>
  <c r="BN21" i="2"/>
  <c r="BN20" i="2"/>
  <c r="BN19" i="2"/>
  <c r="BI14" i="2" l="1"/>
  <c r="BH14" i="2"/>
  <c r="BM14" i="2"/>
  <c r="BM57" i="2" l="1"/>
  <c r="BM56" i="2"/>
  <c r="BM55" i="2"/>
  <c r="BM49" i="2"/>
  <c r="BM48" i="2"/>
  <c r="BM47" i="2"/>
  <c r="BM32" i="2"/>
  <c r="BM31" i="2"/>
  <c r="BM30" i="2"/>
  <c r="BM29" i="2"/>
  <c r="BM22" i="2"/>
  <c r="BM21" i="2"/>
  <c r="BM20" i="2"/>
  <c r="BM19" i="2"/>
  <c r="BL57" i="2" l="1"/>
  <c r="BL56" i="2"/>
  <c r="BL55" i="2"/>
  <c r="BL49" i="2"/>
  <c r="BL48" i="2"/>
  <c r="BL47" i="2"/>
  <c r="BL32" i="2"/>
  <c r="BL31" i="2"/>
  <c r="BL30" i="2"/>
  <c r="BL29" i="2"/>
  <c r="BL22" i="2"/>
  <c r="BL21" i="2"/>
  <c r="BL20" i="2"/>
  <c r="BL19" i="2"/>
  <c r="BK14" i="2" l="1"/>
  <c r="BK57" i="2" l="1"/>
  <c r="BK56" i="2"/>
  <c r="BK55" i="2"/>
  <c r="BK49" i="2"/>
  <c r="BK48" i="2"/>
  <c r="BK47" i="2"/>
  <c r="BK32" i="2"/>
  <c r="BK31" i="2"/>
  <c r="BK30" i="2"/>
  <c r="BK29" i="2"/>
  <c r="BK22" i="2"/>
  <c r="BK21" i="2"/>
  <c r="BK20" i="2"/>
  <c r="BK19" i="2"/>
  <c r="BJ14" i="2" l="1"/>
  <c r="BJ57" i="2" l="1"/>
  <c r="BJ56" i="2"/>
  <c r="BJ55" i="2"/>
  <c r="BJ49" i="2"/>
  <c r="BJ48" i="2"/>
  <c r="BJ47" i="2"/>
  <c r="BJ32" i="2"/>
  <c r="BJ31" i="2"/>
  <c r="BJ30" i="2"/>
  <c r="BJ29" i="2"/>
  <c r="BJ22" i="2"/>
  <c r="BJ21" i="2"/>
  <c r="BJ20" i="2"/>
  <c r="BJ19" i="2"/>
  <c r="BI57" i="2" l="1"/>
  <c r="BI56" i="2"/>
  <c r="BI55" i="2"/>
  <c r="BI49" i="2"/>
  <c r="BI48" i="2"/>
  <c r="BI47" i="2"/>
  <c r="BI32" i="2"/>
  <c r="BI31" i="2"/>
  <c r="BI30" i="2"/>
  <c r="BI29" i="2"/>
  <c r="BI22" i="2"/>
  <c r="BI21" i="2"/>
  <c r="BI20" i="2"/>
  <c r="BI19" i="2"/>
  <c r="BH57" i="2"/>
  <c r="BH56" i="2"/>
  <c r="BH55" i="2"/>
  <c r="BH49" i="2"/>
  <c r="BH48" i="2"/>
  <c r="BH47" i="2"/>
  <c r="BH32" i="2"/>
  <c r="BH31" i="2"/>
  <c r="BH30" i="2"/>
  <c r="BH29" i="2"/>
  <c r="BH22" i="2"/>
  <c r="BH21" i="2"/>
  <c r="BH20" i="2"/>
  <c r="BH19" i="2"/>
  <c r="BG14" i="2" l="1"/>
  <c r="BG57" i="2" l="1"/>
  <c r="BG56" i="2"/>
  <c r="BG55" i="2"/>
  <c r="BG49" i="2"/>
  <c r="BG48" i="2"/>
  <c r="BG47" i="2"/>
  <c r="BG32" i="2"/>
  <c r="BG31" i="2"/>
  <c r="BG30" i="2"/>
  <c r="BG29" i="2"/>
  <c r="BG22" i="2"/>
  <c r="BG21" i="2"/>
  <c r="BG20" i="2"/>
  <c r="BG19" i="2"/>
  <c r="BF14" i="2" l="1"/>
  <c r="BF57" i="2" l="1"/>
  <c r="BF56" i="2"/>
  <c r="BF55" i="2"/>
  <c r="BF49" i="2"/>
  <c r="BF48" i="2"/>
  <c r="BF47" i="2"/>
  <c r="BF32" i="2"/>
  <c r="BF31" i="2"/>
  <c r="BF30" i="2"/>
  <c r="BF29" i="2"/>
  <c r="BF22" i="2"/>
  <c r="BF21" i="2"/>
  <c r="BF20" i="2"/>
  <c r="BF19" i="2"/>
  <c r="BE14" i="2"/>
  <c r="BE57" i="2" l="1"/>
  <c r="BE56" i="2"/>
  <c r="BE55" i="2"/>
  <c r="BE49" i="2"/>
  <c r="BE48" i="2"/>
  <c r="BE47" i="2"/>
  <c r="BE32" i="2"/>
  <c r="BE31" i="2"/>
  <c r="BE30" i="2"/>
  <c r="BE29" i="2"/>
  <c r="BE22" i="2"/>
  <c r="BE21" i="2"/>
  <c r="BE20" i="2"/>
  <c r="BE19" i="2"/>
  <c r="BD14" i="2"/>
  <c r="BD57" i="2" l="1"/>
  <c r="BD56" i="2"/>
  <c r="BD55" i="2"/>
  <c r="BD49" i="2"/>
  <c r="BD48" i="2"/>
  <c r="BD47" i="2"/>
  <c r="BD32" i="2"/>
  <c r="BD31" i="2"/>
  <c r="BD30" i="2"/>
  <c r="BD29" i="2"/>
  <c r="BD22" i="2"/>
  <c r="BD21" i="2"/>
  <c r="BD20" i="2"/>
  <c r="BD19" i="2"/>
  <c r="BC14" i="2" l="1"/>
  <c r="BB14" i="2"/>
  <c r="BC57" i="2" l="1"/>
  <c r="BB57" i="2"/>
  <c r="BC56" i="2"/>
  <c r="BB56" i="2"/>
  <c r="BC55" i="2"/>
  <c r="BB55" i="2"/>
  <c r="BB49" i="2"/>
  <c r="BC48" i="2"/>
  <c r="BB48" i="2"/>
  <c r="BC47" i="2"/>
  <c r="BB47" i="2"/>
  <c r="BC49" i="2"/>
  <c r="BC32" i="2"/>
  <c r="BB32" i="2"/>
  <c r="BC31" i="2"/>
  <c r="BB31" i="2"/>
  <c r="BC30" i="2"/>
  <c r="BB30" i="2"/>
  <c r="BC29" i="2"/>
  <c r="BB29" i="2"/>
  <c r="BC22" i="2"/>
  <c r="BB22" i="2"/>
  <c r="BC21" i="2"/>
  <c r="BB21" i="2"/>
  <c r="BC20" i="2"/>
  <c r="BB20" i="2"/>
  <c r="BC19" i="2"/>
  <c r="BB19" i="2"/>
  <c r="BA14" i="2" l="1"/>
  <c r="BA45" i="2"/>
  <c r="BA57" i="2" l="1"/>
  <c r="BA56" i="2"/>
  <c r="BA55" i="2"/>
  <c r="BA49" i="2"/>
  <c r="BA48" i="2"/>
  <c r="BA47" i="2"/>
  <c r="BA32" i="2"/>
  <c r="BA31" i="2"/>
  <c r="BA30" i="2"/>
  <c r="BA29" i="2"/>
  <c r="BA22" i="2"/>
  <c r="BA21" i="2"/>
  <c r="BA20" i="2"/>
  <c r="BA19" i="2"/>
  <c r="AZ14" i="2" l="1"/>
  <c r="AZ57" i="2"/>
  <c r="AZ56" i="2"/>
  <c r="AZ55" i="2"/>
  <c r="AZ49" i="2"/>
  <c r="AZ48" i="2"/>
  <c r="AZ47" i="2"/>
  <c r="AZ32" i="2"/>
  <c r="AZ31" i="2"/>
  <c r="AZ30" i="2"/>
  <c r="AZ29" i="2"/>
  <c r="AZ22" i="2"/>
  <c r="AZ21" i="2"/>
  <c r="AZ20" i="2"/>
  <c r="AZ19" i="2"/>
  <c r="AY14" i="2" l="1"/>
  <c r="AX14" i="2" l="1"/>
  <c r="AY32" i="2" l="1"/>
  <c r="AX32" i="2"/>
  <c r="AY31" i="2"/>
  <c r="AX31" i="2"/>
  <c r="AY30" i="2"/>
  <c r="AX30" i="2"/>
  <c r="AY29" i="2"/>
  <c r="AX29" i="2"/>
  <c r="AY57" i="2"/>
  <c r="AY56" i="2"/>
  <c r="AY55" i="2"/>
  <c r="AY49" i="2"/>
  <c r="AY48" i="2"/>
  <c r="AY47" i="2"/>
  <c r="AY22" i="2"/>
  <c r="AY21" i="2"/>
  <c r="AY20" i="2"/>
  <c r="AY19" i="2"/>
  <c r="AX57" i="2"/>
  <c r="AX56" i="2"/>
  <c r="AX55" i="2"/>
  <c r="AX49" i="2"/>
  <c r="AX48" i="2"/>
  <c r="AX47" i="2"/>
  <c r="AX22" i="2"/>
  <c r="AX21" i="2"/>
  <c r="AX20" i="2"/>
  <c r="AX19" i="2"/>
  <c r="AW14" i="2" l="1"/>
  <c r="AV45" i="2" l="1"/>
  <c r="AV48" i="2"/>
  <c r="AW57" i="2"/>
  <c r="AW56" i="2"/>
  <c r="AW55" i="2"/>
  <c r="AW49" i="2"/>
  <c r="AW48" i="2"/>
  <c r="AW47" i="2"/>
  <c r="AW32" i="2"/>
  <c r="AW31" i="2"/>
  <c r="AW30" i="2"/>
  <c r="AW29" i="2"/>
  <c r="AW22" i="2"/>
  <c r="AW21" i="2"/>
  <c r="AW20" i="2"/>
  <c r="AW19" i="2"/>
  <c r="AV14" i="2" l="1"/>
  <c r="AV57" i="2" l="1"/>
  <c r="AV56" i="2"/>
  <c r="AV55" i="2"/>
  <c r="AV49" i="2"/>
  <c r="AV47" i="2"/>
  <c r="AV32" i="2"/>
  <c r="AV31" i="2"/>
  <c r="AV30" i="2"/>
  <c r="AV29" i="2"/>
  <c r="AV22" i="2"/>
  <c r="AV21" i="2"/>
  <c r="AV20" i="2"/>
  <c r="AV19" i="2"/>
  <c r="AU57" i="2" l="1"/>
  <c r="AU14" i="2"/>
  <c r="AU56" i="2" l="1"/>
  <c r="AU55" i="2"/>
  <c r="AU49" i="2"/>
  <c r="AU48" i="2"/>
  <c r="AU47" i="2"/>
  <c r="AU32" i="2"/>
  <c r="AU31" i="2"/>
  <c r="AU30" i="2"/>
  <c r="AU29" i="2"/>
  <c r="AU22" i="2"/>
  <c r="AU21" i="2"/>
  <c r="AU20" i="2"/>
  <c r="AU19" i="2"/>
  <c r="AT14" i="2" l="1"/>
  <c r="AT57" i="2" l="1"/>
  <c r="AT56" i="2"/>
  <c r="AT55" i="2"/>
  <c r="AT49" i="2"/>
  <c r="AT48" i="2"/>
  <c r="AT47" i="2"/>
  <c r="AT32" i="2"/>
  <c r="AT31" i="2"/>
  <c r="AT30" i="2"/>
  <c r="AT29" i="2"/>
  <c r="AT22" i="2"/>
  <c r="AT21" i="2"/>
  <c r="AT20" i="2"/>
  <c r="AT19" i="2"/>
  <c r="AS17" i="2" l="1"/>
  <c r="AS14" i="2"/>
  <c r="AS57" i="2" l="1"/>
  <c r="AS56" i="2"/>
  <c r="AS55" i="2"/>
  <c r="AS49" i="2"/>
  <c r="AS48" i="2"/>
  <c r="AS47" i="2"/>
  <c r="AS32" i="2"/>
  <c r="AS31" i="2"/>
  <c r="AS30" i="2"/>
  <c r="AS29" i="2"/>
  <c r="AS21" i="2"/>
  <c r="AS20" i="2"/>
  <c r="AS19" i="2"/>
  <c r="AS22" i="2"/>
  <c r="AR17" i="2" l="1"/>
  <c r="AR14" i="2"/>
  <c r="AR32" i="2" l="1"/>
  <c r="AR31" i="2"/>
  <c r="AR30" i="2"/>
  <c r="AR29" i="2"/>
  <c r="AR57" i="2"/>
  <c r="AR56" i="2"/>
  <c r="AR55" i="2"/>
  <c r="AR49" i="2"/>
  <c r="AR48" i="2"/>
  <c r="AR47" i="2"/>
  <c r="AR21" i="2"/>
  <c r="AR20" i="2"/>
  <c r="AR19" i="2"/>
  <c r="AR22" i="2"/>
  <c r="AQ17" i="2" l="1"/>
  <c r="AQ14" i="2"/>
  <c r="AP17" i="2" l="1"/>
  <c r="AQ57" i="2"/>
  <c r="AQ56" i="2"/>
  <c r="AQ55" i="2"/>
  <c r="AQ49" i="2"/>
  <c r="AQ48" i="2"/>
  <c r="AQ47" i="2"/>
  <c r="AQ32" i="2"/>
  <c r="AQ31" i="2"/>
  <c r="AQ30" i="2"/>
  <c r="AQ29" i="2"/>
  <c r="AQ22" i="2"/>
  <c r="AQ21" i="2"/>
  <c r="AQ20" i="2"/>
  <c r="AQ19" i="2"/>
  <c r="AP14" i="2" l="1"/>
  <c r="AP57" i="2" l="1"/>
  <c r="AP56" i="2"/>
  <c r="AP55" i="2"/>
  <c r="AP49" i="2"/>
  <c r="AP48" i="2"/>
  <c r="AP47" i="2"/>
  <c r="AP32" i="2"/>
  <c r="AP31" i="2"/>
  <c r="AP30" i="2"/>
  <c r="AP29" i="2"/>
  <c r="AP21" i="2"/>
  <c r="AP20" i="2"/>
  <c r="AP19" i="2"/>
  <c r="AP22" i="2"/>
  <c r="AO17" i="2" l="1"/>
  <c r="AO14" i="2" l="1"/>
  <c r="AO57" i="2" l="1"/>
  <c r="AO56" i="2"/>
  <c r="AO55" i="2"/>
  <c r="AO49" i="2"/>
  <c r="AO48" i="2"/>
  <c r="AO47" i="2"/>
  <c r="AO32" i="2"/>
  <c r="AO31" i="2"/>
  <c r="AO30" i="2"/>
  <c r="AO29" i="2"/>
  <c r="AO21" i="2"/>
  <c r="AO20" i="2"/>
  <c r="AO19" i="2"/>
  <c r="AO22" i="2"/>
  <c r="AN17" i="2" l="1"/>
  <c r="AN24" i="2"/>
  <c r="AN14" i="2"/>
  <c r="AN57" i="2" l="1"/>
  <c r="AN56" i="2"/>
  <c r="AN55" i="2"/>
  <c r="AN49" i="2"/>
  <c r="AN48" i="2"/>
  <c r="AN47" i="2"/>
  <c r="AN32" i="2"/>
  <c r="AN31" i="2"/>
  <c r="AN30" i="2"/>
  <c r="AN29" i="2"/>
  <c r="AN21" i="2"/>
  <c r="AN20" i="2"/>
  <c r="AN19" i="2"/>
  <c r="AN22" i="2"/>
  <c r="AM17" i="2" l="1"/>
  <c r="AM14" i="2"/>
  <c r="AM52" i="2"/>
  <c r="AM57" i="2" l="1"/>
  <c r="AM56" i="2"/>
  <c r="AM55" i="2"/>
  <c r="AM49" i="2"/>
  <c r="AM48" i="2"/>
  <c r="AM47" i="2"/>
  <c r="AM32" i="2"/>
  <c r="AM31" i="2"/>
  <c r="AM30" i="2"/>
  <c r="AM29" i="2"/>
  <c r="AM21" i="2"/>
  <c r="AM20" i="2"/>
  <c r="AM22" i="2"/>
  <c r="AM19" i="2"/>
  <c r="AL52" i="2" l="1"/>
  <c r="AL17" i="2"/>
  <c r="AL14" i="2" l="1"/>
  <c r="AL57" i="2" l="1"/>
  <c r="AL56" i="2"/>
  <c r="AL55" i="2"/>
  <c r="AL49" i="2"/>
  <c r="AL48" i="2"/>
  <c r="AL47" i="2"/>
  <c r="AL32" i="2"/>
  <c r="AL31" i="2"/>
  <c r="AL30" i="2"/>
  <c r="AL29" i="2"/>
  <c r="AL21" i="2"/>
  <c r="AL22" i="2"/>
  <c r="AL20" i="2"/>
  <c r="AL19" i="2"/>
  <c r="AI52" i="2" l="1"/>
  <c r="AH52" i="2"/>
  <c r="AH44" i="2"/>
  <c r="AJ52" i="2"/>
  <c r="AJ56" i="2" s="1"/>
  <c r="AJ53" i="2"/>
  <c r="AJ57" i="2" s="1"/>
  <c r="AK17" i="2"/>
  <c r="AK22" i="2" s="1"/>
  <c r="AK15" i="2"/>
  <c r="AK20" i="2" s="1"/>
  <c r="AK14" i="2"/>
  <c r="AK19" i="2" s="1"/>
  <c r="AJ17" i="2"/>
  <c r="AJ22" i="2" s="1"/>
  <c r="AJ15" i="2"/>
  <c r="AJ20" i="2" s="1"/>
  <c r="AJ24" i="2"/>
  <c r="AJ29" i="2" s="1"/>
  <c r="AJ14" i="2"/>
  <c r="AJ19" i="2" s="1"/>
  <c r="AK57" i="2"/>
  <c r="AK56" i="2"/>
  <c r="AK55" i="2"/>
  <c r="AJ55" i="2"/>
  <c r="AK49" i="2"/>
  <c r="AJ49" i="2"/>
  <c r="AK47" i="2"/>
  <c r="AJ47" i="2"/>
  <c r="AK48" i="2"/>
  <c r="AJ48" i="2"/>
  <c r="AK32" i="2"/>
  <c r="AJ32" i="2"/>
  <c r="AK31" i="2"/>
  <c r="AJ31" i="2"/>
  <c r="AK30" i="2"/>
  <c r="AJ30" i="2"/>
  <c r="AK29" i="2"/>
  <c r="AK21" i="2"/>
  <c r="AJ21" i="2"/>
  <c r="AI48" i="2" l="1"/>
  <c r="AI17" i="2"/>
  <c r="AI15" i="2"/>
  <c r="AI20" i="2" s="1"/>
  <c r="AH15" i="2"/>
  <c r="AH20" i="2" s="1"/>
  <c r="AH14" i="2"/>
  <c r="AH27" i="2"/>
  <c r="AH32" i="2" s="1"/>
  <c r="AH17" i="2"/>
  <c r="AH22" i="2" s="1"/>
  <c r="AI57" i="2"/>
  <c r="AH57" i="2"/>
  <c r="AI56" i="2"/>
  <c r="AH56" i="2"/>
  <c r="AI55" i="2"/>
  <c r="AH55" i="2"/>
  <c r="AI49" i="2"/>
  <c r="AH49" i="2"/>
  <c r="AH48" i="2"/>
  <c r="AI47" i="2"/>
  <c r="AH47" i="2"/>
  <c r="AI32" i="2"/>
  <c r="AI31" i="2"/>
  <c r="AH31" i="2"/>
  <c r="AI30" i="2"/>
  <c r="AH30" i="2"/>
  <c r="AI29" i="2"/>
  <c r="AH29" i="2"/>
  <c r="AI22" i="2"/>
  <c r="AI21" i="2"/>
  <c r="AH21" i="2"/>
  <c r="AI19" i="2"/>
  <c r="AH19" i="2"/>
  <c r="AA57" i="2" l="1"/>
  <c r="AA56" i="2"/>
  <c r="AA55" i="2"/>
  <c r="AA49" i="2"/>
  <c r="AA48" i="2"/>
  <c r="AA47" i="2"/>
  <c r="AA32" i="2"/>
  <c r="AA31" i="2"/>
  <c r="AA30" i="2"/>
  <c r="AA29" i="2"/>
  <c r="AA22" i="2"/>
  <c r="AA21" i="2"/>
  <c r="AA20" i="2"/>
  <c r="AA19" i="2"/>
  <c r="N57" i="2"/>
  <c r="N56" i="2"/>
  <c r="N55" i="2"/>
  <c r="N49" i="2"/>
  <c r="N48" i="2"/>
  <c r="N47" i="2"/>
  <c r="N32" i="2"/>
  <c r="N31" i="2"/>
  <c r="N30" i="2"/>
  <c r="N29" i="2"/>
  <c r="N22" i="2"/>
  <c r="N21" i="2"/>
  <c r="N20" i="2"/>
  <c r="N19" i="2"/>
  <c r="AG57" i="2" l="1"/>
  <c r="AG56" i="2"/>
  <c r="AG55" i="2"/>
  <c r="AG49" i="2"/>
  <c r="AG48" i="2"/>
  <c r="AG47" i="2"/>
  <c r="AG32" i="2"/>
  <c r="AG31" i="2"/>
  <c r="AG30" i="2"/>
  <c r="AG29" i="2"/>
  <c r="AG22" i="2"/>
  <c r="AG21" i="2"/>
  <c r="AG20" i="2"/>
  <c r="AG19" i="2"/>
  <c r="AF57" i="2" l="1"/>
  <c r="AF56" i="2"/>
  <c r="AF55" i="2"/>
  <c r="AF49" i="2"/>
  <c r="AF48" i="2"/>
  <c r="AF47" i="2"/>
  <c r="AF32" i="2"/>
  <c r="AF31" i="2"/>
  <c r="AF30" i="2"/>
  <c r="AF29" i="2"/>
  <c r="AF22" i="2"/>
  <c r="AF21" i="2"/>
  <c r="AF20" i="2"/>
  <c r="AF19" i="2"/>
  <c r="AE57" i="2" l="1"/>
  <c r="AD57" i="2"/>
  <c r="AE56" i="2"/>
  <c r="AD56" i="2"/>
  <c r="AE55" i="2"/>
  <c r="AD55" i="2"/>
  <c r="AE49" i="2"/>
  <c r="AD49" i="2"/>
  <c r="AE48" i="2"/>
  <c r="AD48" i="2"/>
  <c r="AE47" i="2"/>
  <c r="AD47" i="2"/>
  <c r="AE32" i="2"/>
  <c r="AD32" i="2"/>
  <c r="AE31" i="2"/>
  <c r="AD31" i="2"/>
  <c r="AE30" i="2"/>
  <c r="AD30" i="2"/>
  <c r="AE29" i="2"/>
  <c r="AD29" i="2"/>
  <c r="AE22" i="2"/>
  <c r="AD22" i="2"/>
  <c r="AE21" i="2"/>
  <c r="AD21" i="2"/>
  <c r="AE20" i="2"/>
  <c r="AD20" i="2"/>
  <c r="AE19" i="2"/>
  <c r="AD19" i="2"/>
  <c r="AC57" i="2" l="1"/>
  <c r="AC56" i="2"/>
  <c r="AC55" i="2"/>
  <c r="AC49" i="2"/>
  <c r="AC48" i="2"/>
  <c r="AC47" i="2"/>
  <c r="AC32" i="2"/>
  <c r="AC31" i="2"/>
  <c r="AC30" i="2"/>
  <c r="AC29" i="2"/>
  <c r="AC22" i="2"/>
  <c r="AC21" i="2"/>
  <c r="AC20" i="2"/>
  <c r="AC19" i="2"/>
  <c r="AB57" i="2"/>
  <c r="AB56" i="2"/>
  <c r="AB55" i="2"/>
  <c r="AB49" i="2"/>
  <c r="AB48" i="2"/>
  <c r="AB47" i="2"/>
  <c r="AB32" i="2"/>
  <c r="AB31" i="2"/>
  <c r="AB30" i="2"/>
  <c r="AB29" i="2"/>
  <c r="AB22" i="2"/>
  <c r="AB21" i="2"/>
  <c r="AB20" i="2"/>
  <c r="AB19" i="2"/>
  <c r="Z57" i="2" l="1"/>
  <c r="Z56" i="2"/>
  <c r="Z55" i="2"/>
  <c r="Z49" i="2"/>
  <c r="Z48" i="2"/>
  <c r="Z47" i="2"/>
  <c r="Z32" i="2"/>
  <c r="Z31" i="2"/>
  <c r="Z30" i="2"/>
  <c r="Z29" i="2"/>
  <c r="Z22" i="2"/>
  <c r="Z21" i="2"/>
  <c r="Z20" i="2"/>
  <c r="Z19" i="2"/>
  <c r="Y57" i="2" l="1"/>
  <c r="X57" i="2"/>
  <c r="Y56" i="2"/>
  <c r="X56" i="2"/>
  <c r="Y55" i="2"/>
  <c r="X55" i="2"/>
  <c r="Y49" i="2"/>
  <c r="X49" i="2"/>
  <c r="Y48" i="2"/>
  <c r="X48" i="2"/>
  <c r="Y47" i="2"/>
  <c r="X47" i="2"/>
  <c r="Y32" i="2"/>
  <c r="X32" i="2"/>
  <c r="Y31" i="2"/>
  <c r="X31" i="2"/>
  <c r="Y30" i="2"/>
  <c r="X30" i="2"/>
  <c r="Y29" i="2"/>
  <c r="X29" i="2"/>
  <c r="Y22" i="2"/>
  <c r="X22" i="2"/>
  <c r="Y21" i="2"/>
  <c r="X21" i="2"/>
  <c r="Y20" i="2"/>
  <c r="X20" i="2"/>
  <c r="Y19" i="2"/>
  <c r="X19" i="2"/>
  <c r="W22" i="2" l="1"/>
  <c r="W21" i="2"/>
  <c r="W20" i="2"/>
  <c r="W19" i="2"/>
  <c r="W57" i="2"/>
  <c r="W56" i="2"/>
  <c r="W55" i="2"/>
  <c r="W49" i="2"/>
  <c r="W48" i="2"/>
  <c r="W47" i="2"/>
  <c r="W32" i="2"/>
  <c r="W31" i="2"/>
  <c r="W30" i="2"/>
  <c r="W29" i="2"/>
  <c r="V32" i="2" l="1"/>
  <c r="V31" i="2"/>
  <c r="V30" i="2"/>
  <c r="V29" i="2"/>
  <c r="V22" i="2"/>
  <c r="V21" i="2"/>
  <c r="V20" i="2"/>
  <c r="V19" i="2"/>
  <c r="V57" i="2" l="1"/>
  <c r="V56" i="2"/>
  <c r="V55" i="2"/>
  <c r="V49" i="2"/>
  <c r="V48" i="2"/>
  <c r="V47" i="2"/>
  <c r="U49" i="2" l="1"/>
  <c r="T49" i="2"/>
  <c r="S49" i="2"/>
  <c r="R49" i="2"/>
  <c r="Q49" i="2"/>
  <c r="P49" i="2"/>
  <c r="O49" i="2"/>
  <c r="M49" i="2"/>
  <c r="L49" i="2"/>
  <c r="K49" i="2"/>
  <c r="J49" i="2"/>
  <c r="I49" i="2"/>
  <c r="H49" i="2"/>
  <c r="G49" i="2"/>
  <c r="F49" i="2"/>
  <c r="E49" i="2"/>
  <c r="D49" i="2"/>
  <c r="C49" i="2"/>
  <c r="U48" i="2"/>
  <c r="T48" i="2"/>
  <c r="S48" i="2"/>
  <c r="R48" i="2"/>
  <c r="Q48" i="2"/>
  <c r="P48" i="2"/>
  <c r="O48" i="2"/>
  <c r="M48" i="2"/>
  <c r="L48" i="2"/>
  <c r="K48" i="2"/>
  <c r="J48" i="2"/>
  <c r="I48" i="2"/>
  <c r="H48" i="2"/>
  <c r="G48" i="2"/>
  <c r="F48" i="2"/>
  <c r="E48" i="2"/>
  <c r="D48" i="2"/>
  <c r="C48" i="2"/>
  <c r="U47" i="2"/>
  <c r="T47" i="2"/>
  <c r="S47" i="2"/>
  <c r="R47" i="2"/>
  <c r="Q47" i="2"/>
  <c r="P47" i="2"/>
  <c r="O47" i="2"/>
  <c r="M47" i="2"/>
  <c r="L47" i="2"/>
  <c r="K47" i="2"/>
  <c r="J47" i="2"/>
  <c r="I47" i="2"/>
  <c r="H47" i="2"/>
  <c r="G47" i="2"/>
  <c r="F47" i="2"/>
  <c r="E47" i="2"/>
  <c r="D47" i="2"/>
  <c r="C47" i="2"/>
  <c r="U57" i="2"/>
  <c r="T57" i="2"/>
  <c r="S57" i="2"/>
  <c r="R57" i="2"/>
  <c r="Q57" i="2"/>
  <c r="P57" i="2"/>
  <c r="O57" i="2"/>
  <c r="M57" i="2"/>
  <c r="L57" i="2"/>
  <c r="K57" i="2"/>
  <c r="J57" i="2"/>
  <c r="I57" i="2"/>
  <c r="H57" i="2"/>
  <c r="G57" i="2"/>
  <c r="F57" i="2"/>
  <c r="E57" i="2"/>
  <c r="D57" i="2"/>
  <c r="C57" i="2"/>
  <c r="U56" i="2"/>
  <c r="T56" i="2"/>
  <c r="S56" i="2"/>
  <c r="R56" i="2"/>
  <c r="Q56" i="2"/>
  <c r="P56" i="2"/>
  <c r="O56" i="2"/>
  <c r="M56" i="2"/>
  <c r="L56" i="2"/>
  <c r="K56" i="2"/>
  <c r="J56" i="2"/>
  <c r="I56" i="2"/>
  <c r="H56" i="2"/>
  <c r="G56" i="2"/>
  <c r="F56" i="2"/>
  <c r="E56" i="2"/>
  <c r="D56" i="2"/>
  <c r="C56" i="2"/>
  <c r="U55" i="2"/>
  <c r="T55" i="2"/>
  <c r="S55" i="2"/>
  <c r="R55" i="2"/>
  <c r="Q55" i="2"/>
  <c r="P55" i="2"/>
  <c r="O55" i="2"/>
  <c r="M55" i="2"/>
  <c r="L55" i="2"/>
  <c r="K55" i="2"/>
  <c r="J55" i="2"/>
  <c r="I55" i="2"/>
  <c r="H55" i="2"/>
  <c r="G55" i="2"/>
  <c r="F55" i="2"/>
  <c r="E55" i="2"/>
  <c r="D55" i="2"/>
  <c r="C55" i="2"/>
  <c r="B57" i="2"/>
  <c r="B56" i="2"/>
  <c r="B55" i="2"/>
  <c r="B49" i="2"/>
  <c r="B48" i="2"/>
  <c r="B47" i="2"/>
  <c r="U29" i="2"/>
  <c r="U30" i="2"/>
  <c r="U31" i="2"/>
  <c r="U32" i="2"/>
  <c r="U19" i="2"/>
  <c r="U20" i="2"/>
  <c r="U21" i="2"/>
  <c r="U22" i="2"/>
  <c r="M32" i="2"/>
  <c r="L32" i="2"/>
  <c r="K32" i="2"/>
  <c r="J32" i="2"/>
  <c r="I32" i="2"/>
  <c r="H32" i="2"/>
  <c r="G32" i="2"/>
  <c r="F32" i="2"/>
  <c r="E32" i="2"/>
  <c r="D32" i="2"/>
  <c r="C32" i="2"/>
  <c r="B32" i="2"/>
  <c r="M31" i="2"/>
  <c r="L31" i="2"/>
  <c r="K31" i="2"/>
  <c r="J31" i="2"/>
  <c r="I31" i="2"/>
  <c r="H31" i="2"/>
  <c r="G31" i="2"/>
  <c r="F31" i="2"/>
  <c r="E31" i="2"/>
  <c r="D31" i="2"/>
  <c r="C31" i="2"/>
  <c r="B31" i="2"/>
  <c r="M30" i="2"/>
  <c r="L30" i="2"/>
  <c r="K30" i="2"/>
  <c r="J30" i="2"/>
  <c r="I30" i="2"/>
  <c r="H30" i="2"/>
  <c r="G30" i="2"/>
  <c r="F30" i="2"/>
  <c r="E30" i="2"/>
  <c r="D30" i="2"/>
  <c r="C30" i="2"/>
  <c r="B30" i="2"/>
  <c r="M29" i="2"/>
  <c r="L29" i="2"/>
  <c r="K29" i="2"/>
  <c r="J29" i="2"/>
  <c r="I29" i="2"/>
  <c r="H29" i="2"/>
  <c r="G29" i="2"/>
  <c r="F29" i="2"/>
  <c r="E29" i="2"/>
  <c r="D29" i="2"/>
  <c r="C29" i="2"/>
  <c r="B29" i="2"/>
  <c r="M22" i="2"/>
  <c r="L22" i="2"/>
  <c r="K22" i="2"/>
  <c r="J22" i="2"/>
  <c r="I22" i="2"/>
  <c r="H22" i="2"/>
  <c r="G22" i="2"/>
  <c r="F22" i="2"/>
  <c r="E22" i="2"/>
  <c r="D22" i="2"/>
  <c r="C22" i="2"/>
  <c r="B22" i="2"/>
  <c r="M21" i="2"/>
  <c r="L21" i="2"/>
  <c r="K21" i="2"/>
  <c r="J21" i="2"/>
  <c r="I21" i="2"/>
  <c r="H21" i="2"/>
  <c r="G21" i="2"/>
  <c r="F21" i="2"/>
  <c r="E21" i="2"/>
  <c r="D21" i="2"/>
  <c r="C21" i="2"/>
  <c r="B21" i="2"/>
  <c r="M20" i="2"/>
  <c r="L20" i="2"/>
  <c r="K20" i="2"/>
  <c r="J20" i="2"/>
  <c r="I20" i="2"/>
  <c r="H20" i="2"/>
  <c r="G20" i="2"/>
  <c r="F20" i="2"/>
  <c r="E20" i="2"/>
  <c r="D20" i="2"/>
  <c r="C20" i="2"/>
  <c r="B20" i="2"/>
  <c r="M19" i="2"/>
  <c r="L19" i="2"/>
  <c r="K19" i="2"/>
  <c r="J19" i="2"/>
  <c r="I19" i="2"/>
  <c r="H19" i="2"/>
  <c r="G19" i="2"/>
  <c r="F19" i="2"/>
  <c r="E19" i="2"/>
  <c r="D19" i="2"/>
  <c r="C19" i="2"/>
  <c r="B19" i="2"/>
  <c r="T32" i="2" l="1"/>
  <c r="S32" i="2"/>
  <c r="R32" i="2"/>
  <c r="Q32" i="2"/>
  <c r="P32" i="2"/>
  <c r="T31" i="2"/>
  <c r="S31" i="2"/>
  <c r="R31" i="2"/>
  <c r="Q31" i="2"/>
  <c r="P31" i="2"/>
  <c r="T30" i="2"/>
  <c r="S30" i="2"/>
  <c r="R30" i="2"/>
  <c r="Q30" i="2"/>
  <c r="P30" i="2"/>
  <c r="T29" i="2"/>
  <c r="S29" i="2"/>
  <c r="R29" i="2"/>
  <c r="Q29" i="2"/>
  <c r="P29" i="2"/>
  <c r="O32" i="2"/>
  <c r="O31" i="2"/>
  <c r="O30" i="2"/>
  <c r="O29" i="2"/>
  <c r="T22" i="2" l="1"/>
  <c r="S22" i="2"/>
  <c r="R22" i="2"/>
  <c r="Q22" i="2"/>
  <c r="P22" i="2"/>
  <c r="T21" i="2"/>
  <c r="S21" i="2"/>
  <c r="R21" i="2"/>
  <c r="Q21" i="2"/>
  <c r="P21" i="2"/>
  <c r="T20" i="2"/>
  <c r="S20" i="2"/>
  <c r="R20" i="2"/>
  <c r="Q20" i="2"/>
  <c r="P20" i="2"/>
  <c r="T19" i="2"/>
  <c r="S19" i="2"/>
  <c r="R19" i="2"/>
  <c r="Q19" i="2"/>
  <c r="P19" i="2"/>
  <c r="O22" i="2"/>
  <c r="O21" i="2"/>
  <c r="O20" i="2"/>
  <c r="O19" i="2"/>
</calcChain>
</file>

<file path=xl/sharedStrings.xml><?xml version="1.0" encoding="utf-8"?>
<sst xmlns="http://schemas.openxmlformats.org/spreadsheetml/2006/main" count="903" uniqueCount="354">
  <si>
    <t>001</t>
  </si>
  <si>
    <t>002</t>
  </si>
  <si>
    <t>003</t>
  </si>
  <si>
    <t>004</t>
  </si>
  <si>
    <t>0003</t>
  </si>
  <si>
    <t>0030</t>
  </si>
  <si>
    <t>0032</t>
  </si>
  <si>
    <t>13o -14</t>
  </si>
  <si>
    <t>13o -15</t>
  </si>
  <si>
    <t>SALARIO NORMAL</t>
  </si>
  <si>
    <t>Diferenca de Salario</t>
  </si>
  <si>
    <t>BONUS</t>
  </si>
  <si>
    <t>SALARIO FAMILIA</t>
  </si>
  <si>
    <t>Saldo de Salario Diurno</t>
  </si>
  <si>
    <t>Horas Extras 60% Diurnas</t>
  </si>
  <si>
    <t>DSR S/Horas Extras Diurnas</t>
  </si>
  <si>
    <t>COMISSOES</t>
  </si>
  <si>
    <t>Gratificacao de Funcao</t>
  </si>
  <si>
    <t>DSR S/Comissoes</t>
  </si>
  <si>
    <t>13o Salario Adiantamento</t>
  </si>
  <si>
    <t>Media Comissoes/DSR Ferias</t>
  </si>
  <si>
    <t>Horas Ferias Diurnas</t>
  </si>
  <si>
    <t>Med.Hrs.Ext.S/Ferias Diurnas</t>
  </si>
  <si>
    <t>Med.Eventos Variaveis/ Ferias Diurnas</t>
  </si>
  <si>
    <t>Adicional Noturno S/Ferias</t>
  </si>
  <si>
    <t>1/3 sobre Ferias</t>
  </si>
  <si>
    <t>Diferenca de Ferias</t>
  </si>
  <si>
    <t>Horas Abono Pecuniario Diurnas</t>
  </si>
  <si>
    <t>Med.Eve.Var.Abono Pecuniario</t>
  </si>
  <si>
    <t>1/3 Abono Pecuniario</t>
  </si>
  <si>
    <t>13o Salario Lic.Mater.Rescisao (GPS)</t>
  </si>
  <si>
    <t>Aviso Previo Indenizado Diurno</t>
  </si>
  <si>
    <t>Media Comissoes/DSR a.P.I.</t>
  </si>
  <si>
    <t>Adicional Noturno a.P.I.</t>
  </si>
  <si>
    <t>Med.Hrs.Ext.Diurnas a.P.I.</t>
  </si>
  <si>
    <t>Med.Eve.Var.A.P.I.</t>
  </si>
  <si>
    <t>Diferenca de Horas Extras</t>
  </si>
  <si>
    <t>13o Salario Proporcional</t>
  </si>
  <si>
    <t>Media Comissoes/DSR 13o Sal.Prop.</t>
  </si>
  <si>
    <t>Adicional Noturno 13o Sal.Prop.</t>
  </si>
  <si>
    <t>Med.Hrs.Ext.Diurnas 13o Sal.Prop.</t>
  </si>
  <si>
    <t>Med.Eve.Var.13o Sal.Prop.</t>
  </si>
  <si>
    <t>13o Salario Indenizado</t>
  </si>
  <si>
    <t>Media Comissoes/DSR 13o Sal.Ind.</t>
  </si>
  <si>
    <t>Adicional Noturno 13o Sal.Ind.</t>
  </si>
  <si>
    <t>Med.Hrs.Ext.Diurnas 13o Sal.Ind.</t>
  </si>
  <si>
    <t>Med.Eve.Var. 13o Sal.Ind.</t>
  </si>
  <si>
    <t>Trienio 13o Sal.Ind.</t>
  </si>
  <si>
    <t>Horas Ferias Venci das Diurnas</t>
  </si>
  <si>
    <t>Adicional Noturno S/Ferias Vencidas</t>
  </si>
  <si>
    <t>Med.Hrs.Ext.Diurnas S/Ferias Vencidas</t>
  </si>
  <si>
    <t>Med.Eve.Var.S/Ferias Vencidas</t>
  </si>
  <si>
    <t>Media Comissoes/DSR Ferias Vencidas</t>
  </si>
  <si>
    <t>1/3 S/Ferias Vencidas</t>
  </si>
  <si>
    <t>Horas Ferias Proporc.Diurnas</t>
  </si>
  <si>
    <t>Media Comissoes/DSR Ferias Proporc.</t>
  </si>
  <si>
    <t>Adicional Noturno S/Ferias Proporc.</t>
  </si>
  <si>
    <t>Med.Hrs.Ext.Diurnas S/Ferias Proporc.</t>
  </si>
  <si>
    <t>Med.Eve.Var.S/Ferias Proporc.</t>
  </si>
  <si>
    <t>1/3 S/Ferias Proporcionais</t>
  </si>
  <si>
    <t>Indenizacao Mes Anteri or ao Dissidio</t>
  </si>
  <si>
    <t>Devolucao INSS Mes</t>
  </si>
  <si>
    <t>Diferenca Adicional Noturno</t>
  </si>
  <si>
    <t>Horas Ferias Proporcionais Diurnas</t>
  </si>
  <si>
    <t>Med.Hrs.Ext.Diurnas Ferias Prop.API</t>
  </si>
  <si>
    <t>Med.Eve.Var.Ferias Prop.API</t>
  </si>
  <si>
    <t>Trienio Ferias Prop.API</t>
  </si>
  <si>
    <t>1/3 S/Ferias Proporcionais API</t>
  </si>
  <si>
    <t>Compl 1/3 s/Ferias</t>
  </si>
  <si>
    <t>Dsr s/Comiss Mes Anterior</t>
  </si>
  <si>
    <t>INDENIZ DIA DO COMERCIARIO</t>
  </si>
  <si>
    <t>Bonificacao</t>
  </si>
  <si>
    <t>Inss Desc  Mes Anterior</t>
  </si>
  <si>
    <t>Complemento de Comissoes</t>
  </si>
  <si>
    <t>Diferenca Adic.Tempo de Serv</t>
  </si>
  <si>
    <t>INSS</t>
  </si>
  <si>
    <t>Desconto 13o Salario Adiantamento</t>
  </si>
  <si>
    <t>Aviso Previo Reavido Diurno</t>
  </si>
  <si>
    <t>Media Comissoes/DSR a.P.R.</t>
  </si>
  <si>
    <t>Med.Hrs.Ext.Diurnas a.P.R.</t>
  </si>
  <si>
    <t>Desconto Adiantamento F eri as</t>
  </si>
  <si>
    <t>Desconto Liquido Rescisao</t>
  </si>
  <si>
    <t>Irrf</t>
  </si>
  <si>
    <t>IRRF S/13o Salario</t>
  </si>
  <si>
    <t>IRRF S/Ferias</t>
  </si>
  <si>
    <t>INSS S/13o Salario</t>
  </si>
  <si>
    <t>INSS S/Ferias</t>
  </si>
  <si>
    <t>Desconto de Faltas e Atrasos</t>
  </si>
  <si>
    <t>BASE EVENTO ADIC NOTURNO</t>
  </si>
  <si>
    <t>BASE EVENTO ADIC NOT 13 SAL</t>
  </si>
  <si>
    <t>BASE EVENTO ADIC NOT FERIAS</t>
  </si>
  <si>
    <t>BASE EVENTO ADIC NOT 13</t>
  </si>
  <si>
    <t>Salário</t>
  </si>
  <si>
    <t>Férias</t>
  </si>
  <si>
    <t>13o</t>
  </si>
  <si>
    <t>Rescisão</t>
  </si>
  <si>
    <t>CODPRO</t>
  </si>
  <si>
    <t>Provento</t>
  </si>
  <si>
    <t>Tipo</t>
  </si>
  <si>
    <t>D</t>
  </si>
  <si>
    <t>V</t>
  </si>
  <si>
    <t>00001</t>
  </si>
  <si>
    <t>00017</t>
  </si>
  <si>
    <t>00019</t>
  </si>
  <si>
    <t>Horas Lic.Medica Diurnas</t>
  </si>
  <si>
    <t>00033</t>
  </si>
  <si>
    <t>00037</t>
  </si>
  <si>
    <t>00049</t>
  </si>
  <si>
    <t>Horas Extras 100% Diurnas</t>
  </si>
  <si>
    <t>00055</t>
  </si>
  <si>
    <t>Media Comissoes/DSR Licenca</t>
  </si>
  <si>
    <t>00059</t>
  </si>
  <si>
    <t>00078</t>
  </si>
  <si>
    <t>Quinquenio</t>
  </si>
  <si>
    <t>00082</t>
  </si>
  <si>
    <t>00090</t>
  </si>
  <si>
    <t>00091</t>
  </si>
  <si>
    <t>00110</t>
  </si>
  <si>
    <t>Horas Lic.Mater.Diurnas(GPS)</t>
  </si>
  <si>
    <t>00150</t>
  </si>
  <si>
    <t>00163</t>
  </si>
  <si>
    <t>Estouro do Mes</t>
  </si>
  <si>
    <t>00200</t>
  </si>
  <si>
    <t>Horas Auxil io Doenca Diurnas</t>
  </si>
  <si>
    <t>00213</t>
  </si>
  <si>
    <t>Media Comissoes/DSR Auxilio</t>
  </si>
  <si>
    <t>00224</t>
  </si>
  <si>
    <t>Quinquenio Auxilio Doenca</t>
  </si>
  <si>
    <t>00250</t>
  </si>
  <si>
    <t>00302</t>
  </si>
  <si>
    <t>Complemento Salario Normativo</t>
  </si>
  <si>
    <t>00319</t>
  </si>
  <si>
    <t>00357</t>
  </si>
  <si>
    <t>00358</t>
  </si>
  <si>
    <t>00360</t>
  </si>
  <si>
    <t>00364</t>
  </si>
  <si>
    <t>00370</t>
  </si>
  <si>
    <t>00382</t>
  </si>
  <si>
    <t>Quinquenio S/Ferias</t>
  </si>
  <si>
    <t>00386</t>
  </si>
  <si>
    <t>00388</t>
  </si>
  <si>
    <t>00390</t>
  </si>
  <si>
    <t>00392</t>
  </si>
  <si>
    <t>00394</t>
  </si>
  <si>
    <t>Med.Hrs.Ext.Abono Pec.Diurno</t>
  </si>
  <si>
    <t>00416</t>
  </si>
  <si>
    <t>00421</t>
  </si>
  <si>
    <t>00447</t>
  </si>
  <si>
    <t>Aviso Indenizado Resci sao</t>
  </si>
  <si>
    <t>00448</t>
  </si>
  <si>
    <t>00451</t>
  </si>
  <si>
    <t>00454</t>
  </si>
  <si>
    <t>00458</t>
  </si>
  <si>
    <t>00462</t>
  </si>
  <si>
    <t>00509</t>
  </si>
  <si>
    <t>00510</t>
  </si>
  <si>
    <t>00511</t>
  </si>
  <si>
    <t>00516</t>
  </si>
  <si>
    <t>00520</t>
  </si>
  <si>
    <t>00524</t>
  </si>
  <si>
    <t>00533</t>
  </si>
  <si>
    <t>Horas Extras 55% Diurnas</t>
  </si>
  <si>
    <t>00540</t>
  </si>
  <si>
    <t>00541</t>
  </si>
  <si>
    <t>00546</t>
  </si>
  <si>
    <t>00550</t>
  </si>
  <si>
    <t>00554</t>
  </si>
  <si>
    <t>00560</t>
  </si>
  <si>
    <t>00630</t>
  </si>
  <si>
    <t>00634</t>
  </si>
  <si>
    <t>00638</t>
  </si>
  <si>
    <t>00642</t>
  </si>
  <si>
    <t>00649</t>
  </si>
  <si>
    <t>00652</t>
  </si>
  <si>
    <t>00658</t>
  </si>
  <si>
    <t>00661</t>
  </si>
  <si>
    <t>00664</t>
  </si>
  <si>
    <t>00668</t>
  </si>
  <si>
    <t>00672</t>
  </si>
  <si>
    <t>00678</t>
  </si>
  <si>
    <t>00680</t>
  </si>
  <si>
    <t>00710</t>
  </si>
  <si>
    <t>00743</t>
  </si>
  <si>
    <t>Devolucao Desc Faltas/atrasos</t>
  </si>
  <si>
    <t>00828</t>
  </si>
  <si>
    <t>00970</t>
  </si>
  <si>
    <t>00973</t>
  </si>
  <si>
    <t>00980</t>
  </si>
  <si>
    <t>00984</t>
  </si>
  <si>
    <t>00990</t>
  </si>
  <si>
    <t>00999</t>
  </si>
  <si>
    <t>01054</t>
  </si>
  <si>
    <t>Reembolso Vale Transporte</t>
  </si>
  <si>
    <t>01055</t>
  </si>
  <si>
    <t>Reemb de Vale R efeicao</t>
  </si>
  <si>
    <t>01081</t>
  </si>
  <si>
    <t>01084</t>
  </si>
  <si>
    <t>01094</t>
  </si>
  <si>
    <t>01112</t>
  </si>
  <si>
    <t>01131</t>
  </si>
  <si>
    <t>01175</t>
  </si>
  <si>
    <t>Reemb Ext com/ Desc Ind</t>
  </si>
  <si>
    <t>01263</t>
  </si>
  <si>
    <t>01303</t>
  </si>
  <si>
    <t>01311</t>
  </si>
  <si>
    <t>00023</t>
  </si>
  <si>
    <t>Horas Faltas Diurnas</t>
  </si>
  <si>
    <t>00100</t>
  </si>
  <si>
    <t>Desconto Adiantamento S alarial</t>
  </si>
  <si>
    <t>00161</t>
  </si>
  <si>
    <t>Estouro do Mes Anterior</t>
  </si>
  <si>
    <t>00299</t>
  </si>
  <si>
    <t>00301</t>
  </si>
  <si>
    <t>ADIANTAMENTO EXTRA</t>
  </si>
  <si>
    <t>00345</t>
  </si>
  <si>
    <t>Desconto Refeicao / Aliment acao</t>
  </si>
  <si>
    <t>00346</t>
  </si>
  <si>
    <t>ASSISTENCIA MEDICA</t>
  </si>
  <si>
    <t>00381</t>
  </si>
  <si>
    <t>Vale Refeicao 10%</t>
  </si>
  <si>
    <t>00478</t>
  </si>
  <si>
    <t>00481</t>
  </si>
  <si>
    <t>00488</t>
  </si>
  <si>
    <t>00815</t>
  </si>
  <si>
    <t>Vale Transporte</t>
  </si>
  <si>
    <t>00820</t>
  </si>
  <si>
    <t>00830</t>
  </si>
  <si>
    <t>Pensao Judicial</t>
  </si>
  <si>
    <t>00844</t>
  </si>
  <si>
    <t>CONTRIB CONF MES ANT</t>
  </si>
  <si>
    <t>00864</t>
  </si>
  <si>
    <t>CONTRIBUICAO CONFEDERATIVA</t>
  </si>
  <si>
    <t>00866</t>
  </si>
  <si>
    <t>Taxa Assistencial</t>
  </si>
  <si>
    <t>00890</t>
  </si>
  <si>
    <t>00895</t>
  </si>
  <si>
    <t>00920</t>
  </si>
  <si>
    <t>00921</t>
  </si>
  <si>
    <t>00922</t>
  </si>
  <si>
    <t>00950</t>
  </si>
  <si>
    <t>00951</t>
  </si>
  <si>
    <t>00952</t>
  </si>
  <si>
    <t>01036</t>
  </si>
  <si>
    <t>01087</t>
  </si>
  <si>
    <t>Desp Co-Part Desp Medicas</t>
  </si>
  <si>
    <t>01116</t>
  </si>
  <si>
    <t>REEMISSAO CARTAO</t>
  </si>
  <si>
    <t>01218</t>
  </si>
  <si>
    <t>DESC ATRS/SAIDA ANTEC/AUSENCIA</t>
  </si>
  <si>
    <t>01277</t>
  </si>
  <si>
    <t>Desc v. Ref/Alim Nao Ut ilizado</t>
  </si>
  <si>
    <t>01278</t>
  </si>
  <si>
    <t>Desc Vale Transp Nao Utilizado</t>
  </si>
  <si>
    <t>01350</t>
  </si>
  <si>
    <t>01352</t>
  </si>
  <si>
    <t>01353</t>
  </si>
  <si>
    <t>01354</t>
  </si>
  <si>
    <t>01359</t>
  </si>
  <si>
    <t>01360</t>
  </si>
  <si>
    <t>01102</t>
  </si>
  <si>
    <t>REEMB. FAL/ATR  DESC.MES ANT.</t>
  </si>
  <si>
    <t>Multa de Trânsito</t>
  </si>
  <si>
    <t>00827</t>
  </si>
  <si>
    <t>00031</t>
  </si>
  <si>
    <t>Horas Lic.Remunerada Diurnas</t>
  </si>
  <si>
    <t>00417</t>
  </si>
  <si>
    <t>00852</t>
  </si>
  <si>
    <t>BONIFICACAO</t>
  </si>
  <si>
    <t>Descrição</t>
  </si>
  <si>
    <t>Código</t>
  </si>
  <si>
    <t>Classificação</t>
  </si>
  <si>
    <t>Salários</t>
  </si>
  <si>
    <t>Variável</t>
  </si>
  <si>
    <t>Previdência</t>
  </si>
  <si>
    <t>Abono</t>
  </si>
  <si>
    <t>Outros</t>
  </si>
  <si>
    <t/>
  </si>
  <si>
    <t>00035</t>
  </si>
  <si>
    <t>Horas Extras 50% Diurnas</t>
  </si>
  <si>
    <t>00831</t>
  </si>
  <si>
    <t>Pensao Judicial S/13o Salario</t>
  </si>
  <si>
    <t>00860</t>
  </si>
  <si>
    <t>CONTRIBUICAO SINDICAL</t>
  </si>
  <si>
    <t>Diferença de Salário</t>
  </si>
  <si>
    <t>00135</t>
  </si>
  <si>
    <t>Ajudas de Custos</t>
  </si>
  <si>
    <t>Complemento Salário Normativo</t>
  </si>
  <si>
    <t>Med.Hrs.Ext.Diurnas 13o</t>
  </si>
  <si>
    <t>Med.Hrs.Ext.Diurnas S/Férias</t>
  </si>
  <si>
    <t>Med.Eve.Var.S/Férias Vencidas</t>
  </si>
  <si>
    <t>Med.Hrs.Ext.Diurnas S/Ferias</t>
  </si>
  <si>
    <t>Med.Eve.Var.S/Férias Proporc.</t>
  </si>
  <si>
    <t>00704</t>
  </si>
  <si>
    <t>Dif Salário Meses Anteriores</t>
  </si>
  <si>
    <t>00847</t>
  </si>
  <si>
    <t>Ajuda de Custos</t>
  </si>
  <si>
    <t>00936</t>
  </si>
  <si>
    <t>PRÊMIO</t>
  </si>
  <si>
    <t>Med.Hrs.Ext.Diurnas Férias</t>
  </si>
  <si>
    <t>Med.Eve.Var.Férias Prop.API</t>
  </si>
  <si>
    <t>01053</t>
  </si>
  <si>
    <t>REEMB PL SAUD/ASS MEDICA/ODONT</t>
  </si>
  <si>
    <t>01098</t>
  </si>
  <si>
    <t>Reem. Assist. Medica/Pl Saude</t>
  </si>
  <si>
    <t>BONIFICAÇÃO</t>
  </si>
  <si>
    <t>01170</t>
  </si>
  <si>
    <t>Dif Bonificacao/Premio Mes Ant</t>
  </si>
  <si>
    <t>01258</t>
  </si>
  <si>
    <t>Auxilio Educação</t>
  </si>
  <si>
    <t>01288</t>
  </si>
  <si>
    <t>Reemb.Desc.Indev VR/VT</t>
  </si>
  <si>
    <t>00122</t>
  </si>
  <si>
    <t>Med.Eve.Var.Lic..Maternidade (GPS)</t>
  </si>
  <si>
    <t>00138</t>
  </si>
  <si>
    <t>13o Salário Maternidade (GPS)</t>
  </si>
  <si>
    <t>00139</t>
  </si>
  <si>
    <t>Média Comissões/DSR 13o</t>
  </si>
  <si>
    <t>00148</t>
  </si>
  <si>
    <t>Med.Eve.Var.13o Sal.Lic.Mater.</t>
  </si>
  <si>
    <t>00151</t>
  </si>
  <si>
    <t>00210</t>
  </si>
  <si>
    <t>Med.Hrs.Ext.Auxilio Doenca Diurna</t>
  </si>
  <si>
    <t>00279</t>
  </si>
  <si>
    <t>Media Comissoes/DSR 13o</t>
  </si>
  <si>
    <t>00280</t>
  </si>
  <si>
    <t>13o Salário Integral</t>
  </si>
  <si>
    <t>00282</t>
  </si>
  <si>
    <t>Med.Hrs.Ext.13o Sal.Integral</t>
  </si>
  <si>
    <t>00286</t>
  </si>
  <si>
    <t>Med.Eve.Var.13o Sal.Integral</t>
  </si>
  <si>
    <t>00310</t>
  </si>
  <si>
    <t>13o Salário Complementar</t>
  </si>
  <si>
    <t>00393</t>
  </si>
  <si>
    <t>Media Comissoes/DSR Abono</t>
  </si>
  <si>
    <t>00418</t>
  </si>
  <si>
    <t>Diferenca Abono Pecuniario</t>
  </si>
  <si>
    <t>13o Salário Lic.Mater.Rescisão</t>
  </si>
  <si>
    <t>00431</t>
  </si>
  <si>
    <t>00472</t>
  </si>
  <si>
    <t>Quinquenio a.P.I.</t>
  </si>
  <si>
    <t>00534</t>
  </si>
  <si>
    <t>Quinquenio 13o Sal.Prop.</t>
  </si>
  <si>
    <t>00564</t>
  </si>
  <si>
    <t>Quinquenio 13o Sal.Ind.</t>
  </si>
  <si>
    <t>00568</t>
  </si>
  <si>
    <t>Fim Contrato Antec.Emp.Diurno</t>
  </si>
  <si>
    <t>00578</t>
  </si>
  <si>
    <t>Med.Hrs.Ext.Diurnas Fim</t>
  </si>
  <si>
    <t>00677</t>
  </si>
  <si>
    <t>Quinquenio S/Ferias Proporc.</t>
  </si>
  <si>
    <t>00992</t>
  </si>
  <si>
    <t>Quinquenio Ferias Prop.API</t>
  </si>
  <si>
    <t>01063</t>
  </si>
  <si>
    <t>Devol. Cont. Sind/Assist Desc Mes 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</si>
</sst>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16]mmm\-yy;@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quotePrefix="1"/>
    <xf numFmtId="164" fontId="0" fillId="0" borderId="0" xfId="0" applyNumberFormat="1"/>
    <xf numFmtId="43" fontId="0" fillId="0" borderId="0" xfId="1" applyFont="1"/>
    <xf numFmtId="43" fontId="0" fillId="0" borderId="0" xfId="0" applyNumberFormat="1"/>
    <xf numFmtId="16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3" fillId="3" borderId="0" xfId="0" applyFont="1" applyFill="1"/>
    <xf numFmtId="49" fontId="0" fillId="0" borderId="0" xfId="0" applyNumberFormat="1"/>
    <xf numFmtId="0" fontId="0" fillId="0" borderId="0" xfId="0" applyAlignment="1">
      <alignment horizontal="left"/>
    </xf>
    <xf numFmtId="0" fontId="4" fillId="2" borderId="0" xfId="0" applyFont="1" applyFill="1"/>
    <xf numFmtId="0" fontId="4" fillId="0" borderId="0" xfId="0" applyFont="1"/>
  </cellXfs>
  <cellStyles count="2">
    <cellStyle name="Normal" xfId="0" builtinId="0"/>
    <cellStyle name="Vírgula" xfId="1" builtinId="3"/>
  </cellStyles>
  <dxfs count="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50800</xdr:rowOff>
        </xdr:from>
        <xdr:to>
          <xdr:col>3</xdr:col>
          <xdr:colOff>450850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ntos" displayName="Proventos" ref="A1:G126" totalsRowShown="0" headerRowDxfId="6">
  <autoFilter ref="A1:G126" xr:uid="{00000000-0009-0000-0100-000001000000}"/>
  <sortState xmlns:xlrd2="http://schemas.microsoft.com/office/spreadsheetml/2017/richdata2" ref="A2:G126">
    <sortCondition descending="1" ref="B2:B126"/>
    <sortCondition ref="A2:A126"/>
  </sortState>
  <tableColumns count="7">
    <tableColumn id="1" xr3:uid="{00000000-0010-0000-0000-000001000000}" name="CODPRO" dataDxfId="5"/>
    <tableColumn id="7" xr3:uid="{00000000-0010-0000-0000-000007000000}" name="Tipo" dataDxfId="4"/>
    <tableColumn id="2" xr3:uid="{00000000-0010-0000-0000-000002000000}" name="Provento"/>
    <tableColumn id="3" xr3:uid="{00000000-0010-0000-0000-000003000000}" name="Salário" dataDxfId="3"/>
    <tableColumn id="4" xr3:uid="{00000000-0010-0000-0000-000004000000}" name="Rescisão" dataDxfId="2"/>
    <tableColumn id="5" xr3:uid="{00000000-0010-0000-0000-000005000000}" name="Férias" dataDxfId="1"/>
    <tableColumn id="6" xr3:uid="{00000000-0010-0000-0000-000006000000}" name="13o" dataDxfId="0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rov_2017" displayName="Prov_2017" ref="A1:D126" totalsRowShown="0">
  <autoFilter ref="A1:D126" xr:uid="{00000000-0009-0000-0100-000002000000}"/>
  <sortState xmlns:xlrd2="http://schemas.microsoft.com/office/spreadsheetml/2017/richdata2" ref="A2:D63">
    <sortCondition ref="A2:A63"/>
    <sortCondition ref="B2:B63"/>
  </sortState>
  <tableColumns count="4">
    <tableColumn id="1" xr3:uid="{00000000-0010-0000-0100-000001000000}" name="Tipo"/>
    <tableColumn id="2" xr3:uid="{00000000-0010-0000-0100-000002000000}" name="Código"/>
    <tableColumn id="3" xr3:uid="{00000000-0010-0000-0100-000003000000}" name="Descrição"/>
    <tableColumn id="4" xr3:uid="{00000000-0010-0000-0100-000004000000}" name="Classificação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E10"/>
  <sheetViews>
    <sheetView showGridLines="0" workbookViewId="0">
      <selection activeCell="G6" sqref="G6"/>
    </sheetView>
  </sheetViews>
  <sheetFormatPr defaultColWidth="9.1796875" defaultRowHeight="14.5" x14ac:dyDescent="0.35"/>
  <cols>
    <col min="1" max="16384" width="9.1796875" style="11"/>
  </cols>
  <sheetData>
    <row r="2" spans="2:5" x14ac:dyDescent="0.35">
      <c r="B2" s="10"/>
      <c r="C2" s="10"/>
      <c r="D2" s="10"/>
      <c r="E2" s="10"/>
    </row>
    <row r="3" spans="2:5" x14ac:dyDescent="0.35">
      <c r="B3" s="10"/>
      <c r="C3" s="10"/>
      <c r="D3" s="10"/>
      <c r="E3" s="10"/>
    </row>
    <row r="4" spans="2:5" x14ac:dyDescent="0.35">
      <c r="B4" s="10"/>
      <c r="C4" s="10"/>
      <c r="D4" s="10"/>
      <c r="E4" s="10"/>
    </row>
    <row r="5" spans="2:5" x14ac:dyDescent="0.35">
      <c r="B5" s="10"/>
      <c r="C5" s="10"/>
      <c r="D5" s="10"/>
      <c r="E5" s="10"/>
    </row>
    <row r="6" spans="2:5" x14ac:dyDescent="0.35">
      <c r="B6" s="10"/>
      <c r="C6" s="10"/>
      <c r="D6" s="10"/>
      <c r="E6" s="10"/>
    </row>
    <row r="7" spans="2:5" x14ac:dyDescent="0.35">
      <c r="B7" s="10"/>
      <c r="C7" s="10"/>
      <c r="D7" s="10"/>
      <c r="E7" s="10"/>
    </row>
    <row r="8" spans="2:5" x14ac:dyDescent="0.35">
      <c r="B8" s="10"/>
      <c r="C8" s="10"/>
      <c r="D8" s="10"/>
      <c r="E8" s="10"/>
    </row>
    <row r="9" spans="2:5" x14ac:dyDescent="0.35">
      <c r="B9" s="10"/>
      <c r="C9" s="10"/>
      <c r="D9" s="10"/>
      <c r="E9" s="10"/>
    </row>
    <row r="10" spans="2:5" x14ac:dyDescent="0.35">
      <c r="B10" s="10"/>
      <c r="C10" s="10"/>
      <c r="D10" s="10"/>
      <c r="E10" s="10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in">
                <anchor moveWithCells="1" sizeWithCells="1">
                  <from>
                    <xdr:col>2</xdr:col>
                    <xdr:colOff>114300</xdr:colOff>
                    <xdr:row>4</xdr:row>
                    <xdr:rowOff>50800</xdr:rowOff>
                  </from>
                  <to>
                    <xdr:col>3</xdr:col>
                    <xdr:colOff>450850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T57"/>
  <sheetViews>
    <sheetView tabSelected="1" zoomScaleNormal="100" workbookViewId="0">
      <pane xSplit="1" ySplit="1" topLeftCell="BK35" activePane="bottomRight" state="frozen"/>
      <selection pane="topRight" activeCell="B1" sqref="B1"/>
      <selection pane="bottomLeft" activeCell="A2" sqref="A2"/>
      <selection pane="bottomRight" activeCell="BT24" sqref="BT24"/>
    </sheetView>
  </sheetViews>
  <sheetFormatPr defaultRowHeight="14.5" x14ac:dyDescent="0.35"/>
  <cols>
    <col min="2" max="13" width="11.54296875" bestFit="1" customWidth="1"/>
    <col min="14" max="14" width="11.54296875" customWidth="1"/>
    <col min="15" max="26" width="11.54296875" bestFit="1" customWidth="1"/>
    <col min="27" max="27" width="12.26953125" bestFit="1" customWidth="1"/>
    <col min="28" max="37" width="11.54296875" bestFit="1" customWidth="1"/>
    <col min="38" max="46" width="12.26953125" bestFit="1" customWidth="1"/>
    <col min="47" max="72" width="12.26953125" customWidth="1"/>
  </cols>
  <sheetData>
    <row r="1" spans="1:72" x14ac:dyDescent="0.35">
      <c r="B1" s="2">
        <v>41640</v>
      </c>
      <c r="C1" s="2">
        <v>41671</v>
      </c>
      <c r="D1" s="2">
        <v>41699</v>
      </c>
      <c r="E1" s="2">
        <v>41730</v>
      </c>
      <c r="F1" s="2">
        <v>41760</v>
      </c>
      <c r="G1" s="2">
        <v>41791</v>
      </c>
      <c r="H1" s="2">
        <v>41821</v>
      </c>
      <c r="I1" s="2">
        <v>41852</v>
      </c>
      <c r="J1" s="2">
        <v>41883</v>
      </c>
      <c r="K1" s="2">
        <v>41913</v>
      </c>
      <c r="L1" s="2">
        <v>41944</v>
      </c>
      <c r="M1" s="2">
        <v>41974</v>
      </c>
      <c r="N1" s="5" t="s">
        <v>7</v>
      </c>
      <c r="O1" s="2">
        <v>42005</v>
      </c>
      <c r="P1" s="2">
        <v>42036</v>
      </c>
      <c r="Q1" s="2">
        <v>42064</v>
      </c>
      <c r="R1" s="2">
        <v>42095</v>
      </c>
      <c r="S1" s="2">
        <v>42125</v>
      </c>
      <c r="T1" s="2">
        <v>42156</v>
      </c>
      <c r="U1" s="2">
        <v>42186</v>
      </c>
      <c r="V1" s="2">
        <v>42217</v>
      </c>
      <c r="W1" s="2">
        <v>42248</v>
      </c>
      <c r="X1" s="2">
        <v>42278</v>
      </c>
      <c r="Y1" s="2">
        <v>42309</v>
      </c>
      <c r="Z1" s="2">
        <v>42339</v>
      </c>
      <c r="AA1" s="5" t="s">
        <v>8</v>
      </c>
      <c r="AB1" s="2">
        <v>42370</v>
      </c>
      <c r="AC1" s="2">
        <v>42401</v>
      </c>
      <c r="AD1" s="2">
        <v>42430</v>
      </c>
      <c r="AE1" s="2">
        <v>42461</v>
      </c>
      <c r="AF1" s="2">
        <v>42491</v>
      </c>
      <c r="AG1" s="2">
        <v>42522</v>
      </c>
      <c r="AH1" s="2">
        <v>42552</v>
      </c>
      <c r="AI1" s="2">
        <v>42583</v>
      </c>
      <c r="AJ1" s="2">
        <v>42614</v>
      </c>
      <c r="AK1" s="2">
        <v>42644</v>
      </c>
      <c r="AL1" s="2">
        <v>42675</v>
      </c>
      <c r="AM1" s="2">
        <v>42705</v>
      </c>
      <c r="AN1" s="2">
        <v>42736</v>
      </c>
      <c r="AO1" s="2">
        <v>42767</v>
      </c>
      <c r="AP1" s="2">
        <v>42795</v>
      </c>
      <c r="AQ1" s="2">
        <v>42826</v>
      </c>
      <c r="AR1" s="2">
        <v>42856</v>
      </c>
      <c r="AS1" s="2">
        <v>42887</v>
      </c>
      <c r="AT1" s="2">
        <v>42917</v>
      </c>
      <c r="AU1" s="2">
        <v>42948</v>
      </c>
      <c r="AV1" s="2">
        <v>42979</v>
      </c>
      <c r="AW1" s="2">
        <v>43009</v>
      </c>
      <c r="AX1" s="2">
        <v>43040</v>
      </c>
      <c r="AY1" s="2">
        <v>43070</v>
      </c>
      <c r="AZ1" s="2">
        <v>43101</v>
      </c>
      <c r="BA1" s="2">
        <v>43132</v>
      </c>
      <c r="BB1" s="2">
        <v>43160</v>
      </c>
      <c r="BC1" s="2">
        <v>43191</v>
      </c>
      <c r="BD1" s="2">
        <v>43221</v>
      </c>
      <c r="BE1" s="2">
        <v>43252</v>
      </c>
      <c r="BF1" s="2">
        <v>43282</v>
      </c>
      <c r="BG1" s="2">
        <v>43313</v>
      </c>
      <c r="BH1" s="2">
        <v>43344</v>
      </c>
      <c r="BI1" s="2">
        <v>43374</v>
      </c>
      <c r="BJ1" s="2">
        <v>43405</v>
      </c>
      <c r="BK1" s="2">
        <v>43435</v>
      </c>
      <c r="BL1" s="2">
        <v>43435</v>
      </c>
      <c r="BM1" s="2">
        <v>43466</v>
      </c>
      <c r="BN1" s="2">
        <v>43497</v>
      </c>
      <c r="BO1" s="2">
        <v>43525</v>
      </c>
      <c r="BP1" s="2">
        <v>43556</v>
      </c>
      <c r="BQ1" s="2">
        <v>43586</v>
      </c>
      <c r="BR1" s="2">
        <v>43617</v>
      </c>
      <c r="BS1" s="2">
        <v>43647</v>
      </c>
      <c r="BT1" s="2">
        <v>43678</v>
      </c>
    </row>
    <row r="2" spans="1:72" x14ac:dyDescent="0.35">
      <c r="A2" s="1" t="s">
        <v>0</v>
      </c>
      <c r="B2" s="3">
        <v>197838.34999999989</v>
      </c>
      <c r="C2" s="3">
        <v>168845.46999999997</v>
      </c>
      <c r="D2" s="3">
        <v>191464.88999999998</v>
      </c>
      <c r="E2" s="3">
        <v>200856.74000000002</v>
      </c>
      <c r="F2" s="3">
        <v>195461.02999999997</v>
      </c>
      <c r="G2" s="3">
        <v>227609.83999999997</v>
      </c>
      <c r="H2" s="3">
        <v>198480.58</v>
      </c>
      <c r="I2" s="3">
        <v>205850.40000000005</v>
      </c>
      <c r="J2" s="3">
        <v>218392.7999999999</v>
      </c>
      <c r="K2" s="3">
        <v>212549.71000000011</v>
      </c>
      <c r="L2" s="3">
        <v>211794.51</v>
      </c>
      <c r="M2" s="3">
        <v>224247.58000000013</v>
      </c>
      <c r="N2" s="3">
        <v>201953.68</v>
      </c>
      <c r="O2" s="3">
        <v>230294.13000000012</v>
      </c>
      <c r="P2" s="3">
        <v>226093.58000000002</v>
      </c>
      <c r="Q2" s="3">
        <v>233767.31</v>
      </c>
      <c r="R2" s="3">
        <v>233931.44999999998</v>
      </c>
      <c r="S2" s="3">
        <v>230972.90000000002</v>
      </c>
      <c r="T2" s="3">
        <v>303181.63000000006</v>
      </c>
      <c r="U2" s="3">
        <v>245960.00000000009</v>
      </c>
      <c r="V2" s="3">
        <v>249904.83999999991</v>
      </c>
      <c r="W2" s="3">
        <v>269947.47000000003</v>
      </c>
      <c r="X2" s="3">
        <v>222327.73</v>
      </c>
      <c r="Y2" s="3">
        <v>223177.64000000007</v>
      </c>
      <c r="Z2" s="3">
        <v>266666.66000000003</v>
      </c>
      <c r="AA2" s="3">
        <v>221561.23000000004</v>
      </c>
      <c r="AB2" s="3">
        <v>255911.20999999996</v>
      </c>
      <c r="AC2" s="3">
        <v>229003.18000000002</v>
      </c>
      <c r="AD2" s="3">
        <v>231221.00000000003</v>
      </c>
      <c r="AE2" s="3">
        <v>236439.40000000002</v>
      </c>
      <c r="AF2" s="3">
        <v>241711.58999999994</v>
      </c>
      <c r="AG2" s="3">
        <v>325682.8299999999</v>
      </c>
      <c r="AH2" s="3">
        <v>261790.78</v>
      </c>
      <c r="AI2" s="3">
        <v>260101.02999999994</v>
      </c>
      <c r="AJ2" s="3">
        <v>284654.15999999974</v>
      </c>
      <c r="AK2" s="3">
        <v>286314.73999999993</v>
      </c>
      <c r="AL2" s="3">
        <v>245699.91000000006</v>
      </c>
      <c r="AM2" s="3">
        <v>298810.32</v>
      </c>
      <c r="AN2" s="3">
        <v>282538.66000000003</v>
      </c>
      <c r="AO2" s="3">
        <v>252254.18000000002</v>
      </c>
      <c r="AP2" s="3">
        <v>251875.94999999992</v>
      </c>
      <c r="AQ2" s="3">
        <v>307078.75999999989</v>
      </c>
      <c r="AR2" s="3">
        <v>256609.74000000005</v>
      </c>
      <c r="AS2" s="3">
        <v>296430.76000000007</v>
      </c>
      <c r="AT2" s="3">
        <v>281918.3000000001</v>
      </c>
      <c r="AU2" s="3">
        <v>258173.85999999996</v>
      </c>
      <c r="AV2" s="3">
        <v>278765.95000000007</v>
      </c>
      <c r="AW2" s="3">
        <v>281879.78000000003</v>
      </c>
      <c r="AX2" s="3">
        <v>298869.2</v>
      </c>
      <c r="AY2" s="3">
        <v>389878.77999999991</v>
      </c>
      <c r="AZ2" s="3">
        <v>325893.05000000022</v>
      </c>
      <c r="BA2" s="3">
        <v>250494.82000000004</v>
      </c>
      <c r="BB2" s="3">
        <v>261147.78000000009</v>
      </c>
      <c r="BC2" s="3">
        <v>304874.53999999998</v>
      </c>
      <c r="BD2" s="3">
        <v>272099.74</v>
      </c>
      <c r="BE2" s="3">
        <v>284324.32000000007</v>
      </c>
      <c r="BF2" s="3">
        <v>323549.01999999984</v>
      </c>
      <c r="BG2" s="3">
        <v>303592.79000000004</v>
      </c>
      <c r="BH2" s="3">
        <v>345253.24999999988</v>
      </c>
      <c r="BI2" s="3">
        <v>352915.45000000013</v>
      </c>
      <c r="BJ2" s="3">
        <v>398968.62000000005</v>
      </c>
      <c r="BK2" s="3">
        <v>352018.45</v>
      </c>
      <c r="BL2" s="3">
        <v>283703.54999999987</v>
      </c>
      <c r="BM2" s="3">
        <v>505949.23000000016</v>
      </c>
      <c r="BN2" s="3">
        <v>277173.13</v>
      </c>
      <c r="BO2" s="3">
        <v>340831.29</v>
      </c>
      <c r="BP2" s="3">
        <v>330377.34000000008</v>
      </c>
      <c r="BQ2" s="3">
        <v>326764.73</v>
      </c>
      <c r="BR2" s="3">
        <v>341688.13000000006</v>
      </c>
      <c r="BS2" s="3">
        <v>540816.22999999986</v>
      </c>
      <c r="BT2" s="3">
        <v>357998.62000000011</v>
      </c>
    </row>
    <row r="3" spans="1:72" x14ac:dyDescent="0.35">
      <c r="A3" s="1" t="s">
        <v>1</v>
      </c>
      <c r="B3" s="3">
        <v>32495.500000000004</v>
      </c>
      <c r="C3" s="3">
        <v>18312.019999999997</v>
      </c>
      <c r="D3" s="3">
        <v>15384.619999999997</v>
      </c>
      <c r="E3" s="3">
        <v>16836.419999999998</v>
      </c>
      <c r="F3" s="3">
        <v>16586.800000000003</v>
      </c>
      <c r="G3" s="3">
        <v>21384.079999999998</v>
      </c>
      <c r="H3" s="3">
        <v>18451.789999999997</v>
      </c>
      <c r="I3" s="3">
        <v>26460.92</v>
      </c>
      <c r="J3" s="3">
        <v>22054.980000000003</v>
      </c>
      <c r="K3" s="3">
        <v>23712.130000000005</v>
      </c>
      <c r="L3" s="3">
        <v>21914.309999999994</v>
      </c>
      <c r="M3" s="3">
        <v>25623.510000000002</v>
      </c>
      <c r="N3" s="3">
        <v>21169.530000000002</v>
      </c>
      <c r="O3" s="3">
        <v>28627.740000000009</v>
      </c>
      <c r="P3" s="3">
        <v>20539.98</v>
      </c>
      <c r="Q3" s="3">
        <v>19401.829999999994</v>
      </c>
      <c r="R3" s="3">
        <v>20290.550000000003</v>
      </c>
      <c r="S3" s="3">
        <v>18765.870000000006</v>
      </c>
      <c r="T3" s="3">
        <v>19190.579999999998</v>
      </c>
      <c r="U3" s="3">
        <v>20344.71</v>
      </c>
      <c r="V3" s="3">
        <v>20386.329999999998</v>
      </c>
      <c r="W3" s="3">
        <v>21473.199999999997</v>
      </c>
      <c r="X3" s="3">
        <v>23184.469999999994</v>
      </c>
      <c r="Y3" s="3">
        <v>19611.530000000006</v>
      </c>
      <c r="Z3" s="3">
        <v>21900.78</v>
      </c>
      <c r="AA3" s="3">
        <v>20275.460000000003</v>
      </c>
      <c r="AB3" s="3">
        <v>20841.560000000005</v>
      </c>
      <c r="AC3" s="3">
        <v>19649.87</v>
      </c>
      <c r="AD3" s="3">
        <v>23309.280000000002</v>
      </c>
      <c r="AE3" s="3">
        <v>28703.06</v>
      </c>
      <c r="AF3" s="3">
        <v>18199.73</v>
      </c>
      <c r="AG3" s="3">
        <v>18635.129999999997</v>
      </c>
      <c r="AH3" s="3">
        <v>18205.66</v>
      </c>
      <c r="AI3" s="3">
        <v>17449.63</v>
      </c>
      <c r="AJ3" s="3">
        <v>25546.850000000006</v>
      </c>
      <c r="AK3" s="3">
        <v>20749.940000000002</v>
      </c>
      <c r="AL3" s="3">
        <v>13777.869999999999</v>
      </c>
      <c r="AM3" s="3">
        <v>16721.400000000001</v>
      </c>
      <c r="AN3" s="3">
        <v>14030.550000000001</v>
      </c>
      <c r="AO3" s="3">
        <v>14260.12</v>
      </c>
      <c r="AP3" s="3">
        <v>13588.66</v>
      </c>
      <c r="AQ3" s="3">
        <v>14515.54</v>
      </c>
      <c r="AR3" s="3">
        <v>14227.01</v>
      </c>
      <c r="AS3" s="3">
        <v>15688.159999999996</v>
      </c>
      <c r="AT3" s="3">
        <v>11470.900000000001</v>
      </c>
      <c r="AU3" s="3">
        <v>12106.019999999999</v>
      </c>
      <c r="AV3" s="3">
        <v>24755.589999999993</v>
      </c>
      <c r="AW3" s="3">
        <v>24204.209999999995</v>
      </c>
      <c r="AX3" s="3">
        <v>11545.989999999998</v>
      </c>
      <c r="AY3" s="3">
        <v>13704.139999999996</v>
      </c>
      <c r="AZ3" s="3">
        <v>13576.390000000001</v>
      </c>
      <c r="BA3" s="3">
        <v>11384.75</v>
      </c>
      <c r="BB3" s="3">
        <v>33208.509999999995</v>
      </c>
      <c r="BC3" s="3">
        <v>9402.48</v>
      </c>
      <c r="BD3" s="3">
        <v>22204.46</v>
      </c>
      <c r="BE3" s="3">
        <v>6887</v>
      </c>
      <c r="BF3" s="3">
        <v>8027</v>
      </c>
      <c r="BG3" s="3">
        <v>10697.05</v>
      </c>
      <c r="BH3" s="3">
        <v>10687</v>
      </c>
      <c r="BI3" s="3">
        <v>10909.02</v>
      </c>
      <c r="BJ3" s="3">
        <v>10951.17</v>
      </c>
      <c r="BK3" s="3">
        <v>13028.15</v>
      </c>
      <c r="BL3" s="3">
        <v>6678.6</v>
      </c>
      <c r="BM3" s="3">
        <v>15351.069999999998</v>
      </c>
      <c r="BN3" s="3">
        <v>8373.2900000000009</v>
      </c>
      <c r="BO3" s="3">
        <v>8564</v>
      </c>
      <c r="BP3" s="3">
        <v>19845.900000000001</v>
      </c>
      <c r="BQ3" s="3"/>
      <c r="BR3" s="3"/>
      <c r="BS3" s="3"/>
      <c r="BT3" s="3"/>
    </row>
    <row r="4" spans="1:72" x14ac:dyDescent="0.35">
      <c r="A4" s="1" t="s">
        <v>2</v>
      </c>
      <c r="B4" s="3">
        <v>18751.47</v>
      </c>
      <c r="C4" s="3">
        <v>12099.309999999998</v>
      </c>
      <c r="D4" s="3">
        <v>16000.119999999999</v>
      </c>
      <c r="E4" s="3">
        <v>12806.77</v>
      </c>
      <c r="F4" s="3">
        <v>11133.44</v>
      </c>
      <c r="G4" s="3">
        <v>11944.930000000002</v>
      </c>
      <c r="H4" s="3">
        <v>15677.119999999997</v>
      </c>
      <c r="I4" s="3">
        <v>16698.919999999998</v>
      </c>
      <c r="J4" s="3">
        <v>18278.859999999993</v>
      </c>
      <c r="K4" s="3">
        <v>22186.590000000004</v>
      </c>
      <c r="L4" s="3">
        <v>17559.380000000008</v>
      </c>
      <c r="M4" s="3">
        <v>22544.31</v>
      </c>
      <c r="N4" s="3">
        <v>16978.810000000001</v>
      </c>
      <c r="O4" s="3">
        <v>19570.660000000007</v>
      </c>
      <c r="P4" s="3">
        <v>21001.429999999997</v>
      </c>
      <c r="Q4" s="3">
        <v>18239.689999999999</v>
      </c>
      <c r="R4" s="3">
        <v>15653.630000000001</v>
      </c>
      <c r="S4" s="3">
        <v>17181.519999999997</v>
      </c>
      <c r="T4" s="3">
        <v>19825.53</v>
      </c>
      <c r="U4" s="3">
        <v>23818.370000000003</v>
      </c>
      <c r="V4" s="3">
        <v>19647.420000000002</v>
      </c>
      <c r="W4" s="3">
        <v>18335.34</v>
      </c>
      <c r="X4" s="3">
        <v>23720.82</v>
      </c>
      <c r="Y4" s="3">
        <v>25553.93</v>
      </c>
      <c r="Z4" s="3">
        <v>27630.600000000006</v>
      </c>
      <c r="AA4" s="3">
        <v>22335.510000000002</v>
      </c>
      <c r="AB4" s="3">
        <v>41047.630000000012</v>
      </c>
      <c r="AC4" s="3">
        <v>25383.14</v>
      </c>
      <c r="AD4" s="3">
        <v>31949.739999999994</v>
      </c>
      <c r="AE4" s="3">
        <v>27274.01</v>
      </c>
      <c r="AF4" s="3">
        <v>15051.6</v>
      </c>
      <c r="AG4" s="3">
        <v>9520.56</v>
      </c>
      <c r="AH4" s="3">
        <v>8410.9500000000007</v>
      </c>
      <c r="AI4" s="3">
        <v>8731.26</v>
      </c>
      <c r="AJ4" s="3">
        <v>9397.0400000000009</v>
      </c>
      <c r="AK4" s="3">
        <v>11707.64</v>
      </c>
      <c r="AL4" s="3">
        <v>9593.33</v>
      </c>
      <c r="AM4" s="3">
        <v>11486.53</v>
      </c>
      <c r="AN4" s="3">
        <v>9718.85</v>
      </c>
      <c r="AO4" s="3">
        <v>8742.0299999999988</v>
      </c>
      <c r="AP4" s="3">
        <v>9092.5400000000009</v>
      </c>
      <c r="AQ4" s="3">
        <v>11914.8</v>
      </c>
      <c r="AR4" s="3">
        <v>9419.86</v>
      </c>
      <c r="AS4" s="3">
        <v>10798.1</v>
      </c>
      <c r="AT4" s="3">
        <v>9261.64</v>
      </c>
      <c r="AU4" s="3">
        <v>10017.830000000002</v>
      </c>
      <c r="AV4" s="3">
        <v>18465.920000000002</v>
      </c>
      <c r="AW4" s="3">
        <v>8886.27</v>
      </c>
      <c r="AX4" s="3">
        <v>10210.549999999999</v>
      </c>
      <c r="AY4" s="3">
        <v>13985.779999999999</v>
      </c>
      <c r="AZ4" s="3">
        <v>6871.380000000001</v>
      </c>
      <c r="BA4" s="3">
        <v>6768.86</v>
      </c>
      <c r="BB4" s="3">
        <v>6950.98</v>
      </c>
      <c r="BC4" s="3">
        <v>17179.489999999998</v>
      </c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</row>
    <row r="5" spans="1:72" x14ac:dyDescent="0.35">
      <c r="A5" s="1" t="s">
        <v>3</v>
      </c>
      <c r="B5" s="3">
        <v>9512.7099999999991</v>
      </c>
      <c r="C5" s="3">
        <v>10235.870000000001</v>
      </c>
      <c r="D5" s="3">
        <v>11533.330000000002</v>
      </c>
      <c r="E5" s="3">
        <v>12930.28</v>
      </c>
      <c r="F5" s="3">
        <v>11207.34</v>
      </c>
      <c r="G5" s="3">
        <v>16627.330000000002</v>
      </c>
      <c r="H5" s="3">
        <v>13170.92</v>
      </c>
      <c r="I5" s="3">
        <v>13423.199999999999</v>
      </c>
      <c r="J5" s="3">
        <v>13416.32</v>
      </c>
      <c r="K5" s="3">
        <v>15185.860000000002</v>
      </c>
      <c r="L5" s="3">
        <v>14010.91</v>
      </c>
      <c r="M5" s="3">
        <v>18610.560000000001</v>
      </c>
      <c r="N5" s="3">
        <v>9955.19</v>
      </c>
      <c r="O5" s="3">
        <v>15373.749999999998</v>
      </c>
      <c r="P5" s="3">
        <v>15787.910000000002</v>
      </c>
      <c r="Q5" s="3">
        <v>13413.470000000001</v>
      </c>
      <c r="R5" s="3">
        <v>16228.55</v>
      </c>
      <c r="S5" s="3">
        <v>20277.170000000002</v>
      </c>
      <c r="T5" s="3">
        <v>19255.61</v>
      </c>
      <c r="U5" s="3">
        <v>13001.37</v>
      </c>
      <c r="V5" s="3">
        <v>10547.65</v>
      </c>
      <c r="W5" s="3">
        <v>9948.0999999999985</v>
      </c>
      <c r="X5" s="3">
        <v>13202.95</v>
      </c>
      <c r="Y5" s="3">
        <v>7824.14</v>
      </c>
      <c r="Z5" s="3">
        <v>10363.890000000001</v>
      </c>
      <c r="AA5" s="3">
        <v>9335.5300000000007</v>
      </c>
      <c r="AB5" s="3">
        <v>10321.64</v>
      </c>
      <c r="AC5" s="3">
        <v>9940.31</v>
      </c>
      <c r="AD5" s="3">
        <v>15291.680000000002</v>
      </c>
      <c r="AE5" s="3">
        <v>5333.2</v>
      </c>
      <c r="AF5" s="3">
        <v>5333.2</v>
      </c>
      <c r="AG5" s="3">
        <v>5613.38</v>
      </c>
      <c r="AH5" s="3">
        <v>7901.31</v>
      </c>
      <c r="AI5" s="3">
        <v>7893.7800000000007</v>
      </c>
      <c r="AJ5" s="3">
        <v>10655.94</v>
      </c>
      <c r="AK5" s="3">
        <v>6159.8899999999994</v>
      </c>
      <c r="AL5" s="3">
        <v>15749.160000000002</v>
      </c>
      <c r="AM5" s="3">
        <v>2253.38</v>
      </c>
      <c r="AN5" s="3">
        <v>2253.38</v>
      </c>
      <c r="AO5" s="3">
        <v>2355.38</v>
      </c>
      <c r="AP5" s="3">
        <v>2355.38</v>
      </c>
      <c r="AQ5" s="3">
        <v>2355.38</v>
      </c>
      <c r="AR5" s="3">
        <v>2355.38</v>
      </c>
      <c r="AS5" s="3">
        <v>5095.4699999999993</v>
      </c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</row>
    <row r="6" spans="1:72" x14ac:dyDescent="0.35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</row>
    <row r="7" spans="1:72" x14ac:dyDescent="0.35">
      <c r="A7" s="1" t="s">
        <v>0</v>
      </c>
      <c r="B7" s="3">
        <v>83418.320000000007</v>
      </c>
      <c r="C7" s="3">
        <v>54561.849999999984</v>
      </c>
      <c r="D7" s="3">
        <v>81034.909999999989</v>
      </c>
      <c r="E7" s="3">
        <v>86876.419999999984</v>
      </c>
      <c r="F7" s="3">
        <v>68298.100000000064</v>
      </c>
      <c r="G7" s="3">
        <v>72185.720000000059</v>
      </c>
      <c r="H7" s="3">
        <v>62113.759999999987</v>
      </c>
      <c r="I7" s="3">
        <v>61470.920000000071</v>
      </c>
      <c r="J7" s="3">
        <v>79487.220000000074</v>
      </c>
      <c r="K7" s="3">
        <v>79296.88</v>
      </c>
      <c r="L7" s="3">
        <v>63451.469999999987</v>
      </c>
      <c r="M7" s="3">
        <v>90992.609999999957</v>
      </c>
      <c r="N7" s="3">
        <v>134287.21999999997</v>
      </c>
      <c r="O7" s="3">
        <v>94857.489999999903</v>
      </c>
      <c r="P7" s="3">
        <v>75204.539999999994</v>
      </c>
      <c r="Q7" s="3">
        <v>110991.05000000018</v>
      </c>
      <c r="R7" s="3">
        <v>87317.71</v>
      </c>
      <c r="S7" s="3">
        <v>77321.619999999981</v>
      </c>
      <c r="T7" s="3">
        <v>102332.86999999991</v>
      </c>
      <c r="U7" s="3">
        <v>87194.34</v>
      </c>
      <c r="V7" s="3">
        <v>91647.16</v>
      </c>
      <c r="W7" s="3">
        <v>117514.61000000002</v>
      </c>
      <c r="X7" s="3">
        <v>69605.53</v>
      </c>
      <c r="Y7" s="3">
        <v>57174.879999999976</v>
      </c>
      <c r="Z7" s="3">
        <v>156184.35999999996</v>
      </c>
      <c r="AA7" s="3">
        <v>149559.02999999997</v>
      </c>
      <c r="AB7" s="3">
        <v>112121.25</v>
      </c>
      <c r="AC7" s="3">
        <v>67050.73000000001</v>
      </c>
      <c r="AD7" s="3">
        <v>78872.61000000003</v>
      </c>
      <c r="AE7" s="3">
        <v>79423.04999999993</v>
      </c>
      <c r="AF7" s="3">
        <v>94344.799999999988</v>
      </c>
      <c r="AG7" s="3">
        <v>98495.24</v>
      </c>
      <c r="AH7" s="3">
        <v>93932.119999999966</v>
      </c>
      <c r="AI7" s="3">
        <v>89957.750000000058</v>
      </c>
      <c r="AJ7" s="3">
        <v>110008.56000000001</v>
      </c>
      <c r="AK7" s="3">
        <v>118834.24000000011</v>
      </c>
      <c r="AL7" s="3">
        <v>63991.139999999985</v>
      </c>
      <c r="AM7" s="3">
        <v>171402.36999999982</v>
      </c>
      <c r="AN7" s="3">
        <v>119185.30999999981</v>
      </c>
      <c r="AO7" s="3">
        <v>81429.980000000141</v>
      </c>
      <c r="AP7" s="3">
        <v>85939.820000000153</v>
      </c>
      <c r="AQ7" s="3">
        <v>141445.14999999991</v>
      </c>
      <c r="AR7" s="3">
        <v>99378.990000000034</v>
      </c>
      <c r="AS7" s="3">
        <v>100441.76000000005</v>
      </c>
      <c r="AT7" s="3">
        <v>118289.98000000014</v>
      </c>
      <c r="AU7" s="3">
        <v>85732.320000000051</v>
      </c>
      <c r="AV7" s="3">
        <v>85205.98000000004</v>
      </c>
      <c r="AW7" s="3">
        <v>85372.24</v>
      </c>
      <c r="AX7" s="3">
        <v>79471.589999999982</v>
      </c>
      <c r="AY7" s="3">
        <v>263858.06000000023</v>
      </c>
      <c r="AZ7" s="3">
        <v>156259.62000000008</v>
      </c>
      <c r="BA7" s="3">
        <v>76477.389999999941</v>
      </c>
      <c r="BB7" s="3">
        <v>90745.290000000081</v>
      </c>
      <c r="BC7" s="3">
        <v>100283.86000000006</v>
      </c>
      <c r="BD7" s="3">
        <v>89506.920000000071</v>
      </c>
      <c r="BE7" s="3">
        <v>89528.6</v>
      </c>
      <c r="BF7" s="3">
        <v>118460.21000000005</v>
      </c>
      <c r="BG7" s="3">
        <v>110635.1200000001</v>
      </c>
      <c r="BH7" s="3">
        <v>106852.32999999993</v>
      </c>
      <c r="BI7" s="3">
        <v>126113.29</v>
      </c>
      <c r="BJ7" s="3">
        <v>168198.72999999989</v>
      </c>
      <c r="BK7" s="3">
        <v>183361.02999999985</v>
      </c>
      <c r="BL7" s="3">
        <v>197287.37000000002</v>
      </c>
      <c r="BM7" s="3">
        <v>214228.82000000012</v>
      </c>
      <c r="BN7" s="3">
        <v>88743.16</v>
      </c>
      <c r="BO7" s="3">
        <v>104353.37999999995</v>
      </c>
      <c r="BP7" s="3">
        <v>122956.49999999984</v>
      </c>
      <c r="BQ7" s="3">
        <v>112254.37000000021</v>
      </c>
      <c r="BR7" s="3">
        <v>102918.91000000002</v>
      </c>
      <c r="BS7" s="3">
        <v>226517.80000000005</v>
      </c>
      <c r="BT7" s="3">
        <v>114348.14</v>
      </c>
    </row>
    <row r="8" spans="1:72" x14ac:dyDescent="0.35">
      <c r="A8" s="1" t="s">
        <v>1</v>
      </c>
      <c r="B8" s="3">
        <v>17155.590000000004</v>
      </c>
      <c r="C8" s="3">
        <v>9664.91</v>
      </c>
      <c r="D8" s="3">
        <v>7526.8199999999979</v>
      </c>
      <c r="E8" s="3">
        <v>7308.6599999999971</v>
      </c>
      <c r="F8" s="3">
        <v>7631.71</v>
      </c>
      <c r="G8" s="3">
        <v>6738.3600000000015</v>
      </c>
      <c r="H8" s="3">
        <v>6861.63</v>
      </c>
      <c r="I8" s="3">
        <v>10006.159999999996</v>
      </c>
      <c r="J8" s="3">
        <v>8121.3600000000024</v>
      </c>
      <c r="K8" s="3">
        <v>9686.3199999999961</v>
      </c>
      <c r="L8" s="3">
        <v>8392.1499999999978</v>
      </c>
      <c r="M8" s="3">
        <v>13471.86</v>
      </c>
      <c r="N8" s="3">
        <v>11385.78</v>
      </c>
      <c r="O8" s="3">
        <v>16872.339999999993</v>
      </c>
      <c r="P8" s="3">
        <v>8772.9699999999993</v>
      </c>
      <c r="Q8" s="3">
        <v>9029.98</v>
      </c>
      <c r="R8" s="3">
        <v>10859.039999999999</v>
      </c>
      <c r="S8" s="3">
        <v>7189.4</v>
      </c>
      <c r="T8" s="3">
        <v>7402.8400000000011</v>
      </c>
      <c r="U8" s="3">
        <v>7696.3100000000022</v>
      </c>
      <c r="V8" s="3">
        <v>7780.9700000000021</v>
      </c>
      <c r="W8" s="3">
        <v>7998.78</v>
      </c>
      <c r="X8" s="3">
        <v>11578.72</v>
      </c>
      <c r="Y8" s="3">
        <v>5744.5100000000011</v>
      </c>
      <c r="Z8" s="3">
        <v>10818.040000000003</v>
      </c>
      <c r="AA8" s="3">
        <v>11473.839999999998</v>
      </c>
      <c r="AB8" s="3">
        <v>9383.4699999999993</v>
      </c>
      <c r="AC8" s="3">
        <v>10099.32</v>
      </c>
      <c r="AD8" s="3">
        <v>10774.679999999998</v>
      </c>
      <c r="AE8" s="3">
        <v>16287.750000000004</v>
      </c>
      <c r="AF8" s="3">
        <v>6745.42</v>
      </c>
      <c r="AG8" s="3">
        <v>7527.4000000000015</v>
      </c>
      <c r="AH8" s="3">
        <v>6271.75</v>
      </c>
      <c r="AI8" s="3">
        <v>7228.2700000000013</v>
      </c>
      <c r="AJ8" s="3">
        <v>16007.230000000001</v>
      </c>
      <c r="AK8" s="3">
        <v>13811.589999999997</v>
      </c>
      <c r="AL8" s="3">
        <v>6888.7000000000007</v>
      </c>
      <c r="AM8" s="3">
        <v>7992.55</v>
      </c>
      <c r="AN8" s="3">
        <v>7456.2700000000013</v>
      </c>
      <c r="AO8" s="3">
        <v>7415.04</v>
      </c>
      <c r="AP8" s="3">
        <v>6693.0900000000011</v>
      </c>
      <c r="AQ8" s="3">
        <v>6489.7000000000007</v>
      </c>
      <c r="AR8" s="3">
        <v>6543.55</v>
      </c>
      <c r="AS8" s="3">
        <v>10284.620000000003</v>
      </c>
      <c r="AT8" s="3">
        <v>6164.88</v>
      </c>
      <c r="AU8" s="3">
        <v>6312.89</v>
      </c>
      <c r="AV8" s="3">
        <v>17804.98</v>
      </c>
      <c r="AW8" s="3">
        <v>15824.76</v>
      </c>
      <c r="AX8" s="3">
        <v>5282.4</v>
      </c>
      <c r="AY8" s="3">
        <v>5930.5599999999995</v>
      </c>
      <c r="AZ8" s="3">
        <v>7246.88</v>
      </c>
      <c r="BA8" s="3">
        <v>5178.3899999999994</v>
      </c>
      <c r="BB8" s="3">
        <v>25556.789999999997</v>
      </c>
      <c r="BC8" s="3">
        <v>1687.3199999999995</v>
      </c>
      <c r="BD8" s="3">
        <v>1841.8099999999997</v>
      </c>
      <c r="BE8" s="3">
        <v>1110.54</v>
      </c>
      <c r="BF8" s="3">
        <v>1639.87</v>
      </c>
      <c r="BG8" s="3">
        <v>2126.4299999999998</v>
      </c>
      <c r="BH8" s="3">
        <v>2087.9799999999996</v>
      </c>
      <c r="BI8" s="3">
        <v>2228.0099999999998</v>
      </c>
      <c r="BJ8" s="3">
        <v>2424.62</v>
      </c>
      <c r="BK8" s="3">
        <v>5300.2</v>
      </c>
      <c r="BL8" s="3">
        <v>3886.68</v>
      </c>
      <c r="BM8" s="3">
        <v>9217.7700000000023</v>
      </c>
      <c r="BN8" s="3">
        <v>2544.54</v>
      </c>
      <c r="BO8" s="3">
        <v>2588.9299999999998</v>
      </c>
      <c r="BP8" s="3">
        <v>19845.899999999998</v>
      </c>
      <c r="BQ8" s="3"/>
      <c r="BR8" s="3"/>
      <c r="BS8" s="3"/>
      <c r="BT8" s="3"/>
    </row>
    <row r="9" spans="1:72" x14ac:dyDescent="0.35">
      <c r="A9" s="1" t="s">
        <v>2</v>
      </c>
      <c r="B9" s="3">
        <v>6082.1500000000005</v>
      </c>
      <c r="C9" s="3">
        <v>2478.65</v>
      </c>
      <c r="D9" s="3">
        <v>3868.5999999999995</v>
      </c>
      <c r="E9" s="3">
        <v>2782.84</v>
      </c>
      <c r="F9" s="3">
        <v>2318.2699999999995</v>
      </c>
      <c r="G9" s="3">
        <v>2500.6200000000003</v>
      </c>
      <c r="H9" s="3">
        <v>3609.8199999999997</v>
      </c>
      <c r="I9" s="3">
        <v>3805.8700000000003</v>
      </c>
      <c r="J9" s="3">
        <v>4236.5</v>
      </c>
      <c r="K9" s="3">
        <v>10758.009999999998</v>
      </c>
      <c r="L9" s="3">
        <v>3905.9399999999991</v>
      </c>
      <c r="M9" s="3">
        <v>10780.879999999997</v>
      </c>
      <c r="N9" s="3">
        <v>11373.689999999999</v>
      </c>
      <c r="O9" s="3">
        <v>7680.93</v>
      </c>
      <c r="P9" s="3">
        <v>4957.3599999999997</v>
      </c>
      <c r="Q9" s="3">
        <v>6074.01</v>
      </c>
      <c r="R9" s="3">
        <v>3593.24</v>
      </c>
      <c r="S9" s="3">
        <v>3874.6499999999992</v>
      </c>
      <c r="T9" s="3">
        <v>4286.7900000000009</v>
      </c>
      <c r="U9" s="3">
        <v>6852.75</v>
      </c>
      <c r="V9" s="3">
        <v>4364.4900000000007</v>
      </c>
      <c r="W9" s="3">
        <v>3994.61</v>
      </c>
      <c r="X9" s="3">
        <v>5593.1200000000008</v>
      </c>
      <c r="Y9" s="3">
        <v>6080.3400000000011</v>
      </c>
      <c r="Z9" s="3">
        <v>13225.420000000004</v>
      </c>
      <c r="AA9" s="3">
        <v>14851.439999999999</v>
      </c>
      <c r="AB9" s="3">
        <v>11478.689999999999</v>
      </c>
      <c r="AC9" s="3">
        <v>8076.47</v>
      </c>
      <c r="AD9" s="3">
        <v>15260.869999999999</v>
      </c>
      <c r="AE9" s="3">
        <v>7453.27</v>
      </c>
      <c r="AF9" s="3">
        <v>8805.51</v>
      </c>
      <c r="AG9" s="3">
        <v>2502.9800000000005</v>
      </c>
      <c r="AH9" s="3">
        <v>2232.7199999999998</v>
      </c>
      <c r="AI9" s="3">
        <v>2391.5500000000002</v>
      </c>
      <c r="AJ9" s="3">
        <v>2589.9299999999998</v>
      </c>
      <c r="AK9" s="3">
        <v>4085.2400000000002</v>
      </c>
      <c r="AL9" s="3">
        <v>3550.76</v>
      </c>
      <c r="AM9" s="3">
        <v>6994.7399999999989</v>
      </c>
      <c r="AN9" s="3">
        <v>3511.9299999999994</v>
      </c>
      <c r="AO9" s="3">
        <v>2405.2999999999997</v>
      </c>
      <c r="AP9" s="3">
        <v>2590.9999999999995</v>
      </c>
      <c r="AQ9" s="3">
        <v>3058.9100000000003</v>
      </c>
      <c r="AR9" s="3">
        <v>2386.4200000000005</v>
      </c>
      <c r="AS9" s="3">
        <v>2812.53</v>
      </c>
      <c r="AT9" s="3">
        <v>2543.33</v>
      </c>
      <c r="AU9" s="3">
        <v>3884.4199999999996</v>
      </c>
      <c r="AV9" s="3">
        <v>13165.81</v>
      </c>
      <c r="AW9" s="3">
        <v>1857.8399999999997</v>
      </c>
      <c r="AX9" s="3">
        <v>3618.0900000000006</v>
      </c>
      <c r="AY9" s="3">
        <v>10970.84</v>
      </c>
      <c r="AZ9" s="3">
        <v>1988.42</v>
      </c>
      <c r="BA9" s="3">
        <v>1818.8500000000001</v>
      </c>
      <c r="BB9" s="3">
        <v>1876.2099999999998</v>
      </c>
      <c r="BC9" s="3">
        <v>17179.489999999998</v>
      </c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</row>
    <row r="10" spans="1:72" x14ac:dyDescent="0.35">
      <c r="A10" s="1" t="s">
        <v>3</v>
      </c>
      <c r="B10" s="3">
        <v>3510.1200000000003</v>
      </c>
      <c r="C10" s="3">
        <v>2181.73</v>
      </c>
      <c r="D10" s="3">
        <v>2647.03</v>
      </c>
      <c r="E10" s="3">
        <v>4891.329999999999</v>
      </c>
      <c r="F10" s="3">
        <v>2611.5500000000002</v>
      </c>
      <c r="G10" s="3">
        <v>6079.3300000000017</v>
      </c>
      <c r="H10" s="3">
        <v>3005.6</v>
      </c>
      <c r="I10" s="3">
        <v>3004.6400000000003</v>
      </c>
      <c r="J10" s="3">
        <v>3780.55</v>
      </c>
      <c r="K10" s="3">
        <v>4800.2000000000007</v>
      </c>
      <c r="L10" s="3">
        <v>5317.33</v>
      </c>
      <c r="M10" s="3">
        <v>11553.61</v>
      </c>
      <c r="N10" s="3">
        <v>6692.7000000000007</v>
      </c>
      <c r="O10" s="3">
        <v>9300.82</v>
      </c>
      <c r="P10" s="3">
        <v>7038.9400000000014</v>
      </c>
      <c r="Q10" s="3">
        <v>5161.6199999999981</v>
      </c>
      <c r="R10" s="3">
        <v>7618.5399999999991</v>
      </c>
      <c r="S10" s="3">
        <v>12805.070000000002</v>
      </c>
      <c r="T10" s="3">
        <v>8785.7300000000014</v>
      </c>
      <c r="U10" s="3">
        <v>4285.5800000000008</v>
      </c>
      <c r="V10" s="3">
        <v>3659.6400000000003</v>
      </c>
      <c r="W10" s="3">
        <v>3451.7200000000003</v>
      </c>
      <c r="X10" s="3">
        <v>10331.039999999999</v>
      </c>
      <c r="Y10" s="3">
        <v>2339.79</v>
      </c>
      <c r="Z10" s="3">
        <v>5675.5199999999995</v>
      </c>
      <c r="AA10" s="3">
        <v>6344.16</v>
      </c>
      <c r="AB10" s="3">
        <v>3398.1100000000006</v>
      </c>
      <c r="AC10" s="3">
        <v>3488.04</v>
      </c>
      <c r="AD10" s="3">
        <v>12697.640000000001</v>
      </c>
      <c r="AE10" s="3">
        <v>984.83000000000015</v>
      </c>
      <c r="AF10" s="3">
        <v>1917.98</v>
      </c>
      <c r="AG10" s="3">
        <v>1846.37</v>
      </c>
      <c r="AH10" s="3">
        <v>1799.8400000000001</v>
      </c>
      <c r="AI10" s="3">
        <v>3728.5499999999997</v>
      </c>
      <c r="AJ10" s="3">
        <v>6923.74</v>
      </c>
      <c r="AK10" s="3">
        <v>2276.0699999999997</v>
      </c>
      <c r="AL10" s="3">
        <v>13495.78</v>
      </c>
      <c r="AM10" s="3"/>
      <c r="AN10" s="3"/>
      <c r="AO10" s="3"/>
      <c r="AP10" s="3"/>
      <c r="AQ10" s="3"/>
      <c r="AR10" s="3"/>
      <c r="AS10" s="3">
        <v>4074.81</v>
      </c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</row>
    <row r="11" spans="1:72" x14ac:dyDescent="0.3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</row>
    <row r="14" spans="1:72" x14ac:dyDescent="0.35">
      <c r="B14" s="3">
        <v>197838.34999999989</v>
      </c>
      <c r="C14" s="3">
        <v>168845.46999999997</v>
      </c>
      <c r="D14" s="3">
        <v>191464.88999999998</v>
      </c>
      <c r="E14" s="3">
        <v>200856.74000000002</v>
      </c>
      <c r="F14" s="3">
        <v>195461.02999999997</v>
      </c>
      <c r="G14" s="3">
        <v>227609.83999999997</v>
      </c>
      <c r="H14" s="3">
        <v>198480.58</v>
      </c>
      <c r="I14" s="3">
        <v>205850.40000000005</v>
      </c>
      <c r="J14" s="3">
        <v>218392.7999999999</v>
      </c>
      <c r="K14" s="3">
        <v>212549.71000000011</v>
      </c>
      <c r="L14" s="3">
        <v>211794.51</v>
      </c>
      <c r="M14" s="3">
        <v>224247.58000000013</v>
      </c>
      <c r="N14" s="3">
        <v>201953.68</v>
      </c>
      <c r="O14" s="3">
        <v>230294.13000000012</v>
      </c>
      <c r="P14" s="3">
        <v>226093.58000000002</v>
      </c>
      <c r="Q14" s="3">
        <v>233767.31</v>
      </c>
      <c r="R14" s="3">
        <v>233931.44999999998</v>
      </c>
      <c r="S14" s="3">
        <v>230972.90000000002</v>
      </c>
      <c r="T14" s="3">
        <v>303181.63000000006</v>
      </c>
      <c r="U14" s="3">
        <v>245960.00000000009</v>
      </c>
      <c r="V14" s="3">
        <v>249904.84</v>
      </c>
      <c r="W14" s="3">
        <v>269947.46999999997</v>
      </c>
      <c r="X14" s="3">
        <v>222327.73</v>
      </c>
      <c r="Y14" s="3">
        <v>223177.64</v>
      </c>
      <c r="Z14" s="3">
        <v>266666.65999999997</v>
      </c>
      <c r="AA14" s="3">
        <v>221561.23</v>
      </c>
      <c r="AB14" s="3">
        <v>255911.21</v>
      </c>
      <c r="AC14" s="3">
        <v>229003.18</v>
      </c>
      <c r="AD14" s="3">
        <v>231221</v>
      </c>
      <c r="AE14" s="3">
        <v>236439.4</v>
      </c>
      <c r="AF14" s="3">
        <v>241711.59</v>
      </c>
      <c r="AG14" s="3">
        <v>325682.83</v>
      </c>
      <c r="AH14" s="3">
        <f>261566.75+224.03</f>
        <v>261790.78</v>
      </c>
      <c r="AI14" s="3">
        <v>260101.03</v>
      </c>
      <c r="AJ14" s="3">
        <f>284545.24+108.92</f>
        <v>284654.15999999997</v>
      </c>
      <c r="AK14" s="3">
        <f>286178.6+ 136.14</f>
        <v>286314.74</v>
      </c>
      <c r="AL14" s="3">
        <f>245561.83+138.08</f>
        <v>245699.90999999997</v>
      </c>
      <c r="AM14" s="3">
        <f>298545.28+265.04</f>
        <v>298810.32</v>
      </c>
      <c r="AN14" s="3">
        <f>281871.59+667.07</f>
        <v>282538.66000000003</v>
      </c>
      <c r="AO14" s="3">
        <f>252141.44+112.74</f>
        <v>252254.18</v>
      </c>
      <c r="AP14" s="3">
        <f>251763.21+112.74</f>
        <v>251875.94999999998</v>
      </c>
      <c r="AQ14" s="3">
        <f>306966.02+112.74</f>
        <v>307078.76</v>
      </c>
      <c r="AR14" s="3">
        <f>256497+112.74</f>
        <v>256609.74</v>
      </c>
      <c r="AS14" s="3">
        <f>296380.16+50.6</f>
        <v>296430.75999999995</v>
      </c>
      <c r="AT14" s="3">
        <f>281805.56+112.74</f>
        <v>281918.3</v>
      </c>
      <c r="AU14" s="3">
        <f>258061.12+112.74</f>
        <v>258173.86</v>
      </c>
      <c r="AV14" s="3">
        <f>278653.21+112.74</f>
        <v>278765.95</v>
      </c>
      <c r="AW14" s="3">
        <f>281798.11+81.67</f>
        <v>281879.77999999997</v>
      </c>
      <c r="AX14" s="3">
        <f>297963.39+56.81+849</f>
        <v>298869.2</v>
      </c>
      <c r="AY14" s="3">
        <f>386575.56+756.22+2547</f>
        <v>389878.77999999997</v>
      </c>
      <c r="AZ14" s="3">
        <f>323034.62+2773.53+84.9</f>
        <v>325893.05000000005</v>
      </c>
      <c r="BA14" s="3">
        <f>250156.41+338.4+0.01</f>
        <v>250494.82</v>
      </c>
      <c r="BB14" s="3">
        <f>261033.75+114.02+0.01</f>
        <v>261147.78</v>
      </c>
      <c r="BC14" s="3">
        <f>303985+50.6+838.94</f>
        <v>304874.53999999998</v>
      </c>
      <c r="BD14" s="3">
        <f>271388.82+340.75+369.04+1.13</f>
        <v>272099.74</v>
      </c>
      <c r="BE14" s="3">
        <f>284273.71+50.6+0.01</f>
        <v>284324.32</v>
      </c>
      <c r="BF14" s="3">
        <f>323498.41+50.6+0.01</f>
        <v>323549.01999999996</v>
      </c>
      <c r="BG14" s="3">
        <f>303542.18+50.6+0.01</f>
        <v>303592.78999999998</v>
      </c>
      <c r="BH14" s="3">
        <f>344976.98+276.26+0.01</f>
        <v>345253.25</v>
      </c>
      <c r="BI14" s="3">
        <f>352864.84+50.6+0.01</f>
        <v>352915.45</v>
      </c>
      <c r="BJ14" s="3">
        <f>398918.01+50.6+0.01</f>
        <v>398968.62</v>
      </c>
      <c r="BK14" s="3">
        <f>351967.84+50.6+0.01</f>
        <v>352018.45</v>
      </c>
      <c r="BL14" s="3">
        <v>283703.55</v>
      </c>
      <c r="BM14" s="3">
        <f>505897.78+51.44+0.01</f>
        <v>505949.23000000004</v>
      </c>
      <c r="BN14" s="3">
        <f>285495.81+50.6+0.01-8373.29</f>
        <v>277173.13</v>
      </c>
      <c r="BO14" s="3">
        <f>340780.68+50.6+0.01</f>
        <v>340831.29</v>
      </c>
      <c r="BP14" s="3">
        <f>330326.73+50.6+0.01</f>
        <v>330377.33999999997</v>
      </c>
      <c r="BQ14" s="3">
        <f>326714.12+50.6+0.01</f>
        <v>326764.73</v>
      </c>
      <c r="BR14" s="3">
        <f>341637.52+50.6+0.01</f>
        <v>341688.13</v>
      </c>
      <c r="BS14" s="3">
        <f>540765.62+50.6+0.01</f>
        <v>540816.23</v>
      </c>
      <c r="BT14" s="3">
        <f>357948.01+50.6+0.01</f>
        <v>357998.62</v>
      </c>
    </row>
    <row r="15" spans="1:72" x14ac:dyDescent="0.35">
      <c r="B15" s="3">
        <v>32495.500000000004</v>
      </c>
      <c r="C15" s="3">
        <v>18312.019999999997</v>
      </c>
      <c r="D15" s="3">
        <v>15384.619999999997</v>
      </c>
      <c r="E15" s="3">
        <v>16836.419999999998</v>
      </c>
      <c r="F15" s="3">
        <v>16586.800000000003</v>
      </c>
      <c r="G15" s="3">
        <v>21384.079999999998</v>
      </c>
      <c r="H15" s="3">
        <v>18451.789999999997</v>
      </c>
      <c r="I15" s="3">
        <v>26460.92</v>
      </c>
      <c r="J15" s="3">
        <v>22054.980000000003</v>
      </c>
      <c r="K15" s="3">
        <v>23712.130000000005</v>
      </c>
      <c r="L15" s="3">
        <v>21914.309999999994</v>
      </c>
      <c r="M15" s="3">
        <v>25623.510000000002</v>
      </c>
      <c r="N15" s="3">
        <v>21169.53</v>
      </c>
      <c r="O15" s="3">
        <v>28627.740000000009</v>
      </c>
      <c r="P15" s="3">
        <v>20539.98</v>
      </c>
      <c r="Q15" s="3">
        <v>19401.829999999994</v>
      </c>
      <c r="R15" s="3">
        <v>20290.550000000003</v>
      </c>
      <c r="S15" s="3">
        <v>18765.870000000006</v>
      </c>
      <c r="T15" s="3">
        <v>19190.579999999998</v>
      </c>
      <c r="U15" s="3">
        <v>20344.71</v>
      </c>
      <c r="V15" s="3">
        <v>20386.330000000002</v>
      </c>
      <c r="W15" s="3">
        <v>21473.200000000001</v>
      </c>
      <c r="X15" s="3">
        <v>23184.47</v>
      </c>
      <c r="Y15" s="3">
        <v>19611.53</v>
      </c>
      <c r="Z15" s="3">
        <v>21900.78</v>
      </c>
      <c r="AA15" s="3">
        <v>20275.46</v>
      </c>
      <c r="AB15" s="3">
        <v>20841.560000000001</v>
      </c>
      <c r="AC15" s="3">
        <v>19649.87</v>
      </c>
      <c r="AD15" s="3">
        <v>23309.279999999999</v>
      </c>
      <c r="AE15" s="3">
        <v>28703.06</v>
      </c>
      <c r="AF15" s="3">
        <v>18199.73</v>
      </c>
      <c r="AG15" s="3">
        <v>18635.13</v>
      </c>
      <c r="AH15" s="3">
        <f>16199.23+2006.43</f>
        <v>18205.66</v>
      </c>
      <c r="AI15" s="3">
        <f>14350.99+3098.64</f>
        <v>17449.63</v>
      </c>
      <c r="AJ15" s="3">
        <f>22084.65+ 363.56+2759+256.87+82.77</f>
        <v>25546.850000000002</v>
      </c>
      <c r="AK15" s="3">
        <f>17099.43+551.87+2759+256.87+82.77</f>
        <v>20749.939999999999</v>
      </c>
      <c r="AL15" s="3">
        <v>13777.87</v>
      </c>
      <c r="AM15" s="3">
        <v>16721.400000000001</v>
      </c>
      <c r="AN15" s="3">
        <v>14030.55</v>
      </c>
      <c r="AO15" s="3">
        <v>14260.12</v>
      </c>
      <c r="AP15" s="3">
        <v>13588.66</v>
      </c>
      <c r="AQ15" s="3">
        <v>14515.54</v>
      </c>
      <c r="AR15" s="3">
        <v>14227.01</v>
      </c>
      <c r="AS15" s="3">
        <v>15688.16</v>
      </c>
      <c r="AT15" s="3">
        <v>11470.9</v>
      </c>
      <c r="AU15" s="3">
        <v>12106.02</v>
      </c>
      <c r="AV15" s="3">
        <v>24755.59</v>
      </c>
      <c r="AW15" s="3">
        <v>24204.21</v>
      </c>
      <c r="AX15" s="3">
        <v>11545.99</v>
      </c>
      <c r="AY15" s="3">
        <v>13704.14</v>
      </c>
      <c r="AZ15" s="3">
        <v>13576.39</v>
      </c>
      <c r="BA15" s="3">
        <v>11384.75</v>
      </c>
      <c r="BB15" s="3">
        <v>33208.51</v>
      </c>
      <c r="BC15" s="3">
        <v>9402.48</v>
      </c>
      <c r="BD15" s="3">
        <v>22204.46</v>
      </c>
      <c r="BE15" s="3">
        <v>6887</v>
      </c>
      <c r="BF15" s="3">
        <v>8027</v>
      </c>
      <c r="BG15" s="3">
        <v>10697.05</v>
      </c>
      <c r="BH15" s="3">
        <v>10687</v>
      </c>
      <c r="BI15" s="3">
        <v>10909.02</v>
      </c>
      <c r="BJ15" s="3">
        <v>10951.17</v>
      </c>
      <c r="BK15" s="3">
        <v>13028.15</v>
      </c>
      <c r="BL15" s="3">
        <v>6678.6</v>
      </c>
      <c r="BM15" s="3">
        <v>15351.07</v>
      </c>
      <c r="BN15" s="3">
        <v>8373.2900000000009</v>
      </c>
      <c r="BO15" s="3">
        <v>8564</v>
      </c>
      <c r="BP15" s="3">
        <v>19845.900000000001</v>
      </c>
      <c r="BQ15" s="3"/>
      <c r="BR15" s="3"/>
      <c r="BS15" s="3"/>
      <c r="BT15" s="3"/>
    </row>
    <row r="16" spans="1:72" x14ac:dyDescent="0.35">
      <c r="B16" s="3">
        <v>18751.47</v>
      </c>
      <c r="C16" s="3">
        <v>12099.309999999998</v>
      </c>
      <c r="D16" s="3">
        <v>16000.119999999999</v>
      </c>
      <c r="E16" s="3">
        <v>12806.77</v>
      </c>
      <c r="F16" s="3">
        <v>11133.44</v>
      </c>
      <c r="G16" s="3">
        <v>11944.930000000002</v>
      </c>
      <c r="H16" s="3">
        <v>15677.119999999997</v>
      </c>
      <c r="I16" s="3">
        <v>16698.919999999998</v>
      </c>
      <c r="J16" s="3">
        <v>18278.859999999993</v>
      </c>
      <c r="K16" s="3">
        <v>22186.590000000004</v>
      </c>
      <c r="L16" s="3">
        <v>17559.380000000008</v>
      </c>
      <c r="M16" s="3">
        <v>22544.31</v>
      </c>
      <c r="N16" s="3">
        <v>16978.810000000001</v>
      </c>
      <c r="O16" s="3">
        <v>19570.660000000007</v>
      </c>
      <c r="P16" s="3">
        <v>21001.429999999997</v>
      </c>
      <c r="Q16" s="3">
        <v>18239.689999999999</v>
      </c>
      <c r="R16" s="3">
        <v>15653.630000000001</v>
      </c>
      <c r="S16" s="3">
        <v>17181.519999999997</v>
      </c>
      <c r="T16" s="3">
        <v>19825.53</v>
      </c>
      <c r="U16" s="3">
        <v>23818.370000000003</v>
      </c>
      <c r="V16" s="3">
        <v>19647.419999999998</v>
      </c>
      <c r="W16" s="3">
        <v>18335.34</v>
      </c>
      <c r="X16" s="3">
        <v>23720.82</v>
      </c>
      <c r="Y16" s="3">
        <v>25553.93</v>
      </c>
      <c r="Z16" s="3">
        <v>27630.6</v>
      </c>
      <c r="AA16" s="3">
        <v>22335.51</v>
      </c>
      <c r="AB16" s="3">
        <v>41047.629999999997</v>
      </c>
      <c r="AC16" s="3">
        <v>25383.14</v>
      </c>
      <c r="AD16" s="3">
        <v>31949.74</v>
      </c>
      <c r="AE16" s="3">
        <v>27274.01</v>
      </c>
      <c r="AF16" s="3">
        <v>15051.6</v>
      </c>
      <c r="AG16" s="3">
        <v>9520.56</v>
      </c>
      <c r="AH16" s="3">
        <v>8410.9500000000007</v>
      </c>
      <c r="AI16" s="3">
        <v>8731.26</v>
      </c>
      <c r="AJ16" s="3">
        <v>9397.0400000000009</v>
      </c>
      <c r="AK16" s="3">
        <v>11707.64</v>
      </c>
      <c r="AL16" s="3">
        <v>9593.33</v>
      </c>
      <c r="AM16" s="3">
        <v>11486.53</v>
      </c>
      <c r="AN16" s="3">
        <v>9718.85</v>
      </c>
      <c r="AO16" s="3">
        <v>8742.0300000000007</v>
      </c>
      <c r="AP16" s="3">
        <v>9092.5400000000009</v>
      </c>
      <c r="AQ16" s="3">
        <v>11914.8</v>
      </c>
      <c r="AR16" s="3">
        <v>9419.86</v>
      </c>
      <c r="AS16" s="3">
        <v>10798.1</v>
      </c>
      <c r="AT16" s="3">
        <v>9261.64</v>
      </c>
      <c r="AU16" s="3">
        <v>10017.83</v>
      </c>
      <c r="AV16" s="3">
        <v>18465.919999999998</v>
      </c>
      <c r="AW16" s="3">
        <v>8886.27</v>
      </c>
      <c r="AX16" s="3">
        <v>10210.549999999999</v>
      </c>
      <c r="AY16" s="3">
        <v>13985.78</v>
      </c>
      <c r="AZ16" s="3">
        <v>6871.38</v>
      </c>
      <c r="BA16" s="3">
        <v>6768.86</v>
      </c>
      <c r="BB16" s="3">
        <v>6950.98</v>
      </c>
      <c r="BC16" s="3">
        <v>17179.490000000002</v>
      </c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</row>
    <row r="17" spans="2:72" x14ac:dyDescent="0.35">
      <c r="B17" s="3">
        <v>9512.7099999999991</v>
      </c>
      <c r="C17" s="3">
        <v>10235.870000000001</v>
      </c>
      <c r="D17" s="3">
        <v>11533.330000000002</v>
      </c>
      <c r="E17" s="3">
        <v>12930.28</v>
      </c>
      <c r="F17" s="3">
        <v>11207.34</v>
      </c>
      <c r="G17" s="3">
        <v>16627.330000000002</v>
      </c>
      <c r="H17" s="3">
        <v>13170.92</v>
      </c>
      <c r="I17" s="3">
        <v>13423.199999999999</v>
      </c>
      <c r="J17" s="3">
        <v>13416.32</v>
      </c>
      <c r="K17" s="3">
        <v>15185.860000000002</v>
      </c>
      <c r="L17" s="3">
        <v>14010.91</v>
      </c>
      <c r="M17" s="3">
        <v>18610.560000000001</v>
      </c>
      <c r="N17" s="3">
        <v>9955.19</v>
      </c>
      <c r="O17" s="3">
        <v>15373.749999999998</v>
      </c>
      <c r="P17" s="3">
        <v>15787.910000000002</v>
      </c>
      <c r="Q17" s="3">
        <v>13413.470000000001</v>
      </c>
      <c r="R17" s="3">
        <v>16228.55</v>
      </c>
      <c r="S17" s="3">
        <v>20277.170000000002</v>
      </c>
      <c r="T17" s="3">
        <v>19255.61</v>
      </c>
      <c r="U17" s="3">
        <v>13001.37</v>
      </c>
      <c r="V17" s="3">
        <v>10547.65</v>
      </c>
      <c r="W17" s="3">
        <v>9948.1</v>
      </c>
      <c r="X17" s="3">
        <v>13202.95</v>
      </c>
      <c r="Y17" s="3">
        <v>7824.14</v>
      </c>
      <c r="Z17" s="3">
        <v>10363.89</v>
      </c>
      <c r="AA17" s="3">
        <v>9335.5300000000007</v>
      </c>
      <c r="AB17" s="3">
        <v>10321.64</v>
      </c>
      <c r="AC17" s="3">
        <v>9940.31</v>
      </c>
      <c r="AD17" s="3">
        <v>15291.68</v>
      </c>
      <c r="AE17" s="3">
        <v>5333.2</v>
      </c>
      <c r="AF17" s="3">
        <v>5333.2</v>
      </c>
      <c r="AG17" s="3">
        <v>5613.38</v>
      </c>
      <c r="AH17" s="3">
        <f>5647.93+2253.38</f>
        <v>7901.31</v>
      </c>
      <c r="AI17" s="3">
        <f>5640.4+2253.38</f>
        <v>7893.78</v>
      </c>
      <c r="AJ17" s="3">
        <f>8402.56+ 2226+27.38</f>
        <v>10655.939999999999</v>
      </c>
      <c r="AK17" s="3">
        <f>3906.51+2226+27.38</f>
        <v>6159.89</v>
      </c>
      <c r="AL17" s="3">
        <f>13495.78+2226+27.38</f>
        <v>15749.16</v>
      </c>
      <c r="AM17" s="3">
        <f>2226+27.38</f>
        <v>2253.38</v>
      </c>
      <c r="AN17" s="3">
        <f>2226+27.38</f>
        <v>2253.38</v>
      </c>
      <c r="AO17" s="3">
        <f>2328+27.38</f>
        <v>2355.38</v>
      </c>
      <c r="AP17" s="3">
        <f>2328+27.38</f>
        <v>2355.38</v>
      </c>
      <c r="AQ17" s="3">
        <f>2328+27.38</f>
        <v>2355.38</v>
      </c>
      <c r="AR17" s="3">
        <f>2328+27.38</f>
        <v>2355.38</v>
      </c>
      <c r="AS17" s="3">
        <f>4074.81+1008.8+11.86</f>
        <v>5095.4699999999993</v>
      </c>
      <c r="AT17" s="3">
        <v>0</v>
      </c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</row>
    <row r="19" spans="2:72" x14ac:dyDescent="0.35">
      <c r="B19" s="3">
        <f t="shared" ref="B19:M19" si="0">B2-B14</f>
        <v>0</v>
      </c>
      <c r="C19" s="3">
        <f t="shared" si="0"/>
        <v>0</v>
      </c>
      <c r="D19" s="3">
        <f t="shared" si="0"/>
        <v>0</v>
      </c>
      <c r="E19" s="3">
        <f t="shared" si="0"/>
        <v>0</v>
      </c>
      <c r="F19" s="3">
        <f t="shared" si="0"/>
        <v>0</v>
      </c>
      <c r="G19" s="3">
        <f t="shared" si="0"/>
        <v>0</v>
      </c>
      <c r="H19" s="3">
        <f t="shared" si="0"/>
        <v>0</v>
      </c>
      <c r="I19" s="3">
        <f t="shared" si="0"/>
        <v>0</v>
      </c>
      <c r="J19" s="3">
        <f t="shared" si="0"/>
        <v>0</v>
      </c>
      <c r="K19" s="3">
        <f t="shared" si="0"/>
        <v>0</v>
      </c>
      <c r="L19" s="3">
        <f t="shared" si="0"/>
        <v>0</v>
      </c>
      <c r="M19" s="3">
        <f t="shared" si="0"/>
        <v>0</v>
      </c>
      <c r="N19" s="3">
        <f t="shared" ref="N19" si="1">N2-N14</f>
        <v>0</v>
      </c>
      <c r="O19" s="3">
        <f>O2-O14</f>
        <v>0</v>
      </c>
      <c r="P19" s="3">
        <f t="shared" ref="P19:T19" si="2">P2-P14</f>
        <v>0</v>
      </c>
      <c r="Q19" s="3">
        <f t="shared" si="2"/>
        <v>0</v>
      </c>
      <c r="R19" s="3">
        <f t="shared" si="2"/>
        <v>0</v>
      </c>
      <c r="S19" s="3">
        <f t="shared" si="2"/>
        <v>0</v>
      </c>
      <c r="T19" s="3">
        <f t="shared" si="2"/>
        <v>0</v>
      </c>
      <c r="U19" s="3">
        <f t="shared" ref="U19:V19" si="3">U2-U14</f>
        <v>0</v>
      </c>
      <c r="V19" s="3">
        <f t="shared" si="3"/>
        <v>0</v>
      </c>
      <c r="W19" s="3">
        <f t="shared" ref="W19:Y19" si="4">W2-W14</f>
        <v>0</v>
      </c>
      <c r="X19" s="3">
        <f t="shared" si="4"/>
        <v>0</v>
      </c>
      <c r="Y19" s="3">
        <f t="shared" si="4"/>
        <v>0</v>
      </c>
      <c r="Z19" s="3">
        <f t="shared" ref="Z19:AB19" si="5">Z2-Z14</f>
        <v>0</v>
      </c>
      <c r="AA19" s="3">
        <f t="shared" ref="AA19" si="6">AA2-AA14</f>
        <v>0</v>
      </c>
      <c r="AB19" s="3">
        <f t="shared" si="5"/>
        <v>0</v>
      </c>
      <c r="AC19" s="3">
        <f t="shared" ref="AC19:AE19" si="7">AC2-AC14</f>
        <v>0</v>
      </c>
      <c r="AD19" s="3">
        <f t="shared" si="7"/>
        <v>0</v>
      </c>
      <c r="AE19" s="3">
        <f t="shared" si="7"/>
        <v>0</v>
      </c>
      <c r="AF19" s="3">
        <f t="shared" ref="AF19:AG19" si="8">AF2-AF14</f>
        <v>0</v>
      </c>
      <c r="AG19" s="3">
        <f t="shared" si="8"/>
        <v>0</v>
      </c>
      <c r="AH19" s="3">
        <f t="shared" ref="AH19:AI19" si="9">AH2-AH14</f>
        <v>0</v>
      </c>
      <c r="AI19" s="3">
        <f t="shared" si="9"/>
        <v>0</v>
      </c>
      <c r="AJ19" s="3">
        <f t="shared" ref="AJ19:AK19" si="10">AJ2-AJ14</f>
        <v>0</v>
      </c>
      <c r="AK19" s="3">
        <f t="shared" si="10"/>
        <v>0</v>
      </c>
      <c r="AL19" s="3">
        <f t="shared" ref="AL19:AM19" si="11">AL2-AL14</f>
        <v>0</v>
      </c>
      <c r="AM19" s="3">
        <f t="shared" si="11"/>
        <v>0</v>
      </c>
      <c r="AN19" s="3">
        <f t="shared" ref="AN19:AO19" si="12">AN2-AN14</f>
        <v>0</v>
      </c>
      <c r="AO19" s="3">
        <f t="shared" si="12"/>
        <v>0</v>
      </c>
      <c r="AP19" s="3">
        <f t="shared" ref="AP19:AQ19" si="13">AP2-AP14</f>
        <v>0</v>
      </c>
      <c r="AQ19" s="3">
        <f t="shared" si="13"/>
        <v>0</v>
      </c>
      <c r="AR19" s="3">
        <f t="shared" ref="AR19:AS19" si="14">AR2-AR14</f>
        <v>0</v>
      </c>
      <c r="AS19" s="3">
        <f t="shared" si="14"/>
        <v>0</v>
      </c>
      <c r="AT19" s="3">
        <f t="shared" ref="AT19:AU19" si="15">AT2-AT14</f>
        <v>0</v>
      </c>
      <c r="AU19" s="3">
        <f t="shared" si="15"/>
        <v>0</v>
      </c>
      <c r="AV19" s="3">
        <f t="shared" ref="AV19:AW19" si="16">AV2-AV14</f>
        <v>0</v>
      </c>
      <c r="AW19" s="3">
        <f t="shared" si="16"/>
        <v>0</v>
      </c>
      <c r="AX19" s="3">
        <f t="shared" ref="AX19:AY19" si="17">AX2-AX14</f>
        <v>0</v>
      </c>
      <c r="AY19" s="3">
        <f t="shared" si="17"/>
        <v>0</v>
      </c>
      <c r="AZ19" s="3">
        <f t="shared" ref="AZ19:BA19" si="18">AZ2-AZ14</f>
        <v>0</v>
      </c>
      <c r="BA19" s="3">
        <f t="shared" si="18"/>
        <v>0</v>
      </c>
      <c r="BB19" s="3">
        <f t="shared" ref="BB19:BC19" si="19">BB2-BB14</f>
        <v>0</v>
      </c>
      <c r="BC19" s="3">
        <f t="shared" si="19"/>
        <v>0</v>
      </c>
      <c r="BD19" s="3">
        <f t="shared" ref="BD19:BE19" si="20">BD2-BD14</f>
        <v>0</v>
      </c>
      <c r="BE19" s="3">
        <f t="shared" si="20"/>
        <v>0</v>
      </c>
      <c r="BF19" s="3">
        <f t="shared" ref="BF19:BG19" si="21">BF2-BF14</f>
        <v>0</v>
      </c>
      <c r="BG19" s="3">
        <f t="shared" si="21"/>
        <v>0</v>
      </c>
      <c r="BH19" s="3">
        <f t="shared" ref="BH19:BI19" si="22">BH2-BH14</f>
        <v>0</v>
      </c>
      <c r="BI19" s="3">
        <f t="shared" si="22"/>
        <v>0</v>
      </c>
      <c r="BJ19" s="3">
        <f t="shared" ref="BJ19:BK19" si="23">BJ2-BJ14</f>
        <v>0</v>
      </c>
      <c r="BK19" s="3">
        <f t="shared" si="23"/>
        <v>0</v>
      </c>
      <c r="BL19" s="3">
        <f t="shared" ref="BL19:BM19" si="24">BL2-BL14</f>
        <v>0</v>
      </c>
      <c r="BM19" s="3">
        <f t="shared" si="24"/>
        <v>0</v>
      </c>
      <c r="BN19" s="3">
        <f t="shared" ref="BN19:BO19" si="25">BN2-BN14</f>
        <v>0</v>
      </c>
      <c r="BO19" s="3">
        <f t="shared" si="25"/>
        <v>0</v>
      </c>
      <c r="BP19" s="3">
        <f t="shared" ref="BP19:BQ19" si="26">BP2-BP14</f>
        <v>0</v>
      </c>
      <c r="BQ19" s="3">
        <f t="shared" si="26"/>
        <v>0</v>
      </c>
      <c r="BR19" s="3">
        <f t="shared" ref="BR19:BS19" si="27">BR2-BR14</f>
        <v>0</v>
      </c>
      <c r="BS19" s="3">
        <f t="shared" si="27"/>
        <v>0</v>
      </c>
      <c r="BT19" s="3">
        <f t="shared" ref="BT19" si="28">BT2-BT14</f>
        <v>0</v>
      </c>
    </row>
    <row r="20" spans="2:72" x14ac:dyDescent="0.35">
      <c r="B20" s="3">
        <f t="shared" ref="B20:M20" si="29">B3-B15</f>
        <v>0</v>
      </c>
      <c r="C20" s="3">
        <f t="shared" si="29"/>
        <v>0</v>
      </c>
      <c r="D20" s="3">
        <f t="shared" si="29"/>
        <v>0</v>
      </c>
      <c r="E20" s="3">
        <f t="shared" si="29"/>
        <v>0</v>
      </c>
      <c r="F20" s="3">
        <f t="shared" si="29"/>
        <v>0</v>
      </c>
      <c r="G20" s="3">
        <f t="shared" si="29"/>
        <v>0</v>
      </c>
      <c r="H20" s="3">
        <f t="shared" si="29"/>
        <v>0</v>
      </c>
      <c r="I20" s="3">
        <f t="shared" si="29"/>
        <v>0</v>
      </c>
      <c r="J20" s="3">
        <f t="shared" si="29"/>
        <v>0</v>
      </c>
      <c r="K20" s="3">
        <f t="shared" si="29"/>
        <v>0</v>
      </c>
      <c r="L20" s="3">
        <f t="shared" si="29"/>
        <v>0</v>
      </c>
      <c r="M20" s="3">
        <f t="shared" si="29"/>
        <v>0</v>
      </c>
      <c r="N20" s="3">
        <f t="shared" ref="N20" si="30">N3-N15</f>
        <v>0</v>
      </c>
      <c r="O20" s="3">
        <f t="shared" ref="O20:T22" si="31">O3-O15</f>
        <v>0</v>
      </c>
      <c r="P20" s="3">
        <f t="shared" si="31"/>
        <v>0</v>
      </c>
      <c r="Q20" s="3">
        <f t="shared" si="31"/>
        <v>0</v>
      </c>
      <c r="R20" s="3">
        <f t="shared" si="31"/>
        <v>0</v>
      </c>
      <c r="S20" s="3">
        <f t="shared" si="31"/>
        <v>0</v>
      </c>
      <c r="T20" s="3">
        <f t="shared" si="31"/>
        <v>0</v>
      </c>
      <c r="U20" s="3">
        <f t="shared" ref="U20:V20" si="32">U3-U15</f>
        <v>0</v>
      </c>
      <c r="V20" s="3">
        <f t="shared" si="32"/>
        <v>0</v>
      </c>
      <c r="W20" s="3">
        <f t="shared" ref="W20:Y20" si="33">W3-W15</f>
        <v>0</v>
      </c>
      <c r="X20" s="3">
        <f t="shared" si="33"/>
        <v>0</v>
      </c>
      <c r="Y20" s="3">
        <f t="shared" si="33"/>
        <v>0</v>
      </c>
      <c r="Z20" s="3">
        <f t="shared" ref="Z20:AB20" si="34">Z3-Z15</f>
        <v>0</v>
      </c>
      <c r="AA20" s="3">
        <f t="shared" ref="AA20" si="35">AA3-AA15</f>
        <v>0</v>
      </c>
      <c r="AB20" s="3">
        <f t="shared" si="34"/>
        <v>0</v>
      </c>
      <c r="AC20" s="3">
        <f t="shared" ref="AC20:AE20" si="36">AC3-AC15</f>
        <v>0</v>
      </c>
      <c r="AD20" s="3">
        <f t="shared" si="36"/>
        <v>0</v>
      </c>
      <c r="AE20" s="3">
        <f t="shared" si="36"/>
        <v>0</v>
      </c>
      <c r="AF20" s="3">
        <f t="shared" ref="AF20:AG20" si="37">AF3-AF15</f>
        <v>0</v>
      </c>
      <c r="AG20" s="3">
        <f t="shared" si="37"/>
        <v>0</v>
      </c>
      <c r="AH20" s="3">
        <f t="shared" ref="AH20:AI20" si="38">AH3-AH15</f>
        <v>0</v>
      </c>
      <c r="AI20" s="3">
        <f t="shared" si="38"/>
        <v>0</v>
      </c>
      <c r="AJ20" s="3">
        <f t="shared" ref="AJ20:AK20" si="39">AJ3-AJ15</f>
        <v>0</v>
      </c>
      <c r="AK20" s="3">
        <f t="shared" si="39"/>
        <v>0</v>
      </c>
      <c r="AL20" s="3">
        <f t="shared" ref="AL20:AM20" si="40">AL3-AL15</f>
        <v>0</v>
      </c>
      <c r="AM20" s="3">
        <f t="shared" si="40"/>
        <v>0</v>
      </c>
      <c r="AN20" s="3">
        <f t="shared" ref="AN20:AO20" si="41">AN3-AN15</f>
        <v>0</v>
      </c>
      <c r="AO20" s="3">
        <f t="shared" si="41"/>
        <v>0</v>
      </c>
      <c r="AP20" s="3">
        <f t="shared" ref="AP20:AQ20" si="42">AP3-AP15</f>
        <v>0</v>
      </c>
      <c r="AQ20" s="3">
        <f t="shared" si="42"/>
        <v>0</v>
      </c>
      <c r="AR20" s="3">
        <f t="shared" ref="AR20:AS20" si="43">AR3-AR15</f>
        <v>0</v>
      </c>
      <c r="AS20" s="3">
        <f t="shared" si="43"/>
        <v>0</v>
      </c>
      <c r="AT20" s="3">
        <f t="shared" ref="AT20:AU20" si="44">AT3-AT15</f>
        <v>0</v>
      </c>
      <c r="AU20" s="3">
        <f t="shared" si="44"/>
        <v>0</v>
      </c>
      <c r="AV20" s="3">
        <f t="shared" ref="AV20:AW20" si="45">AV3-AV15</f>
        <v>0</v>
      </c>
      <c r="AW20" s="3">
        <f t="shared" si="45"/>
        <v>0</v>
      </c>
      <c r="AX20" s="3">
        <f t="shared" ref="AX20:AY20" si="46">AX3-AX15</f>
        <v>0</v>
      </c>
      <c r="AY20" s="3">
        <f t="shared" si="46"/>
        <v>0</v>
      </c>
      <c r="AZ20" s="3">
        <f t="shared" ref="AZ20:BA20" si="47">AZ3-AZ15</f>
        <v>0</v>
      </c>
      <c r="BA20" s="3">
        <f t="shared" si="47"/>
        <v>0</v>
      </c>
      <c r="BB20" s="3">
        <f t="shared" ref="BB20:BC20" si="48">BB3-BB15</f>
        <v>0</v>
      </c>
      <c r="BC20" s="3">
        <f t="shared" si="48"/>
        <v>0</v>
      </c>
      <c r="BD20" s="3">
        <f t="shared" ref="BD20:BE20" si="49">BD3-BD15</f>
        <v>0</v>
      </c>
      <c r="BE20" s="3">
        <f t="shared" si="49"/>
        <v>0</v>
      </c>
      <c r="BF20" s="3">
        <f t="shared" ref="BF20:BG20" si="50">BF3-BF15</f>
        <v>0</v>
      </c>
      <c r="BG20" s="3">
        <f t="shared" si="50"/>
        <v>0</v>
      </c>
      <c r="BH20" s="3">
        <f t="shared" ref="BH20:BI20" si="51">BH3-BH15</f>
        <v>0</v>
      </c>
      <c r="BI20" s="3">
        <f t="shared" si="51"/>
        <v>0</v>
      </c>
      <c r="BJ20" s="3">
        <f t="shared" ref="BJ20:BK20" si="52">BJ3-BJ15</f>
        <v>0</v>
      </c>
      <c r="BK20" s="3">
        <f t="shared" si="52"/>
        <v>0</v>
      </c>
      <c r="BL20" s="3">
        <f t="shared" ref="BL20:BM20" si="53">BL3-BL15</f>
        <v>0</v>
      </c>
      <c r="BM20" s="3">
        <f t="shared" si="53"/>
        <v>0</v>
      </c>
      <c r="BN20" s="3">
        <f t="shared" ref="BN20:BO20" si="54">BN3-BN15</f>
        <v>0</v>
      </c>
      <c r="BO20" s="3">
        <f t="shared" si="54"/>
        <v>0</v>
      </c>
      <c r="BP20" s="3">
        <f t="shared" ref="BP20:BQ20" si="55">BP3-BP15</f>
        <v>0</v>
      </c>
      <c r="BQ20" s="3">
        <f t="shared" si="55"/>
        <v>0</v>
      </c>
      <c r="BR20" s="3">
        <f t="shared" ref="BR20:BS20" si="56">BR3-BR15</f>
        <v>0</v>
      </c>
      <c r="BS20" s="3">
        <f t="shared" si="56"/>
        <v>0</v>
      </c>
      <c r="BT20" s="3">
        <f t="shared" ref="BT20" si="57">BT3-BT15</f>
        <v>0</v>
      </c>
    </row>
    <row r="21" spans="2:72" x14ac:dyDescent="0.35">
      <c r="B21" s="3">
        <f t="shared" ref="B21:M21" si="58">B4-B16</f>
        <v>0</v>
      </c>
      <c r="C21" s="3">
        <f t="shared" si="58"/>
        <v>0</v>
      </c>
      <c r="D21" s="3">
        <f t="shared" si="58"/>
        <v>0</v>
      </c>
      <c r="E21" s="3">
        <f t="shared" si="58"/>
        <v>0</v>
      </c>
      <c r="F21" s="3">
        <f t="shared" si="58"/>
        <v>0</v>
      </c>
      <c r="G21" s="3">
        <f t="shared" si="58"/>
        <v>0</v>
      </c>
      <c r="H21" s="3">
        <f t="shared" si="58"/>
        <v>0</v>
      </c>
      <c r="I21" s="3">
        <f t="shared" si="58"/>
        <v>0</v>
      </c>
      <c r="J21" s="3">
        <f t="shared" si="58"/>
        <v>0</v>
      </c>
      <c r="K21" s="3">
        <f t="shared" si="58"/>
        <v>0</v>
      </c>
      <c r="L21" s="3">
        <f t="shared" si="58"/>
        <v>0</v>
      </c>
      <c r="M21" s="3">
        <f t="shared" si="58"/>
        <v>0</v>
      </c>
      <c r="N21" s="3">
        <f t="shared" ref="N21" si="59">N4-N16</f>
        <v>0</v>
      </c>
      <c r="O21" s="3">
        <f t="shared" si="31"/>
        <v>0</v>
      </c>
      <c r="P21" s="3">
        <f t="shared" si="31"/>
        <v>0</v>
      </c>
      <c r="Q21" s="3">
        <f t="shared" si="31"/>
        <v>0</v>
      </c>
      <c r="R21" s="3">
        <f t="shared" si="31"/>
        <v>0</v>
      </c>
      <c r="S21" s="3">
        <f t="shared" si="31"/>
        <v>0</v>
      </c>
      <c r="T21" s="3">
        <f t="shared" si="31"/>
        <v>0</v>
      </c>
      <c r="U21" s="3">
        <f t="shared" ref="U21:V21" si="60">U4-U16</f>
        <v>0</v>
      </c>
      <c r="V21" s="3">
        <f t="shared" si="60"/>
        <v>0</v>
      </c>
      <c r="W21" s="3">
        <f t="shared" ref="W21:Y21" si="61">W4-W16</f>
        <v>0</v>
      </c>
      <c r="X21" s="3">
        <f t="shared" si="61"/>
        <v>0</v>
      </c>
      <c r="Y21" s="3">
        <f t="shared" si="61"/>
        <v>0</v>
      </c>
      <c r="Z21" s="3">
        <f t="shared" ref="Z21:AB21" si="62">Z4-Z16</f>
        <v>0</v>
      </c>
      <c r="AA21" s="3">
        <f t="shared" ref="AA21" si="63">AA4-AA16</f>
        <v>0</v>
      </c>
      <c r="AB21" s="3">
        <f t="shared" si="62"/>
        <v>0</v>
      </c>
      <c r="AC21" s="3">
        <f t="shared" ref="AC21:AE21" si="64">AC4-AC16</f>
        <v>0</v>
      </c>
      <c r="AD21" s="3">
        <f t="shared" si="64"/>
        <v>0</v>
      </c>
      <c r="AE21" s="3">
        <f t="shared" si="64"/>
        <v>0</v>
      </c>
      <c r="AF21" s="3">
        <f t="shared" ref="AF21:AG21" si="65">AF4-AF16</f>
        <v>0</v>
      </c>
      <c r="AG21" s="3">
        <f t="shared" si="65"/>
        <v>0</v>
      </c>
      <c r="AH21" s="3">
        <f t="shared" ref="AH21:AI21" si="66">AH4-AH16</f>
        <v>0</v>
      </c>
      <c r="AI21" s="3">
        <f t="shared" si="66"/>
        <v>0</v>
      </c>
      <c r="AJ21" s="3">
        <f t="shared" ref="AJ21:AK21" si="67">AJ4-AJ16</f>
        <v>0</v>
      </c>
      <c r="AK21" s="3">
        <f t="shared" si="67"/>
        <v>0</v>
      </c>
      <c r="AL21" s="3">
        <f t="shared" ref="AL21:AM21" si="68">AL4-AL16</f>
        <v>0</v>
      </c>
      <c r="AM21" s="3">
        <f t="shared" si="68"/>
        <v>0</v>
      </c>
      <c r="AN21" s="3">
        <f t="shared" ref="AN21:AO21" si="69">AN4-AN16</f>
        <v>0</v>
      </c>
      <c r="AO21" s="3">
        <f t="shared" si="69"/>
        <v>0</v>
      </c>
      <c r="AP21" s="3">
        <f t="shared" ref="AP21:AQ21" si="70">AP4-AP16</f>
        <v>0</v>
      </c>
      <c r="AQ21" s="3">
        <f t="shared" si="70"/>
        <v>0</v>
      </c>
      <c r="AR21" s="3">
        <f t="shared" ref="AR21:AS21" si="71">AR4-AR16</f>
        <v>0</v>
      </c>
      <c r="AS21" s="3">
        <f t="shared" si="71"/>
        <v>0</v>
      </c>
      <c r="AT21" s="3">
        <f t="shared" ref="AT21:AU21" si="72">AT4-AT16</f>
        <v>0</v>
      </c>
      <c r="AU21" s="3">
        <f t="shared" si="72"/>
        <v>0</v>
      </c>
      <c r="AV21" s="3">
        <f t="shared" ref="AV21:AW21" si="73">AV4-AV16</f>
        <v>0</v>
      </c>
      <c r="AW21" s="3">
        <f t="shared" si="73"/>
        <v>0</v>
      </c>
      <c r="AX21" s="3">
        <f t="shared" ref="AX21:AY21" si="74">AX4-AX16</f>
        <v>0</v>
      </c>
      <c r="AY21" s="3">
        <f t="shared" si="74"/>
        <v>0</v>
      </c>
      <c r="AZ21" s="3">
        <f t="shared" ref="AZ21:BA21" si="75">AZ4-AZ16</f>
        <v>0</v>
      </c>
      <c r="BA21" s="3">
        <f t="shared" si="75"/>
        <v>0</v>
      </c>
      <c r="BB21" s="3">
        <f t="shared" ref="BB21:BC21" si="76">BB4-BB16</f>
        <v>0</v>
      </c>
      <c r="BC21" s="3">
        <f t="shared" si="76"/>
        <v>0</v>
      </c>
      <c r="BD21" s="3">
        <f t="shared" ref="BD21:BE21" si="77">BD4-BD16</f>
        <v>0</v>
      </c>
      <c r="BE21" s="3">
        <f t="shared" si="77"/>
        <v>0</v>
      </c>
      <c r="BF21" s="3">
        <f t="shared" ref="BF21:BG21" si="78">BF4-BF16</f>
        <v>0</v>
      </c>
      <c r="BG21" s="3">
        <f t="shared" si="78"/>
        <v>0</v>
      </c>
      <c r="BH21" s="3">
        <f t="shared" ref="BH21:BI21" si="79">BH4-BH16</f>
        <v>0</v>
      </c>
      <c r="BI21" s="3">
        <f t="shared" si="79"/>
        <v>0</v>
      </c>
      <c r="BJ21" s="3">
        <f t="shared" ref="BJ21:BK21" si="80">BJ4-BJ16</f>
        <v>0</v>
      </c>
      <c r="BK21" s="3">
        <f t="shared" si="80"/>
        <v>0</v>
      </c>
      <c r="BL21" s="3">
        <f t="shared" ref="BL21:BM21" si="81">BL4-BL16</f>
        <v>0</v>
      </c>
      <c r="BM21" s="3">
        <f t="shared" si="81"/>
        <v>0</v>
      </c>
      <c r="BN21" s="3">
        <f t="shared" ref="BN21:BO21" si="82">BN4-BN16</f>
        <v>0</v>
      </c>
      <c r="BO21" s="3">
        <f t="shared" si="82"/>
        <v>0</v>
      </c>
      <c r="BP21" s="3">
        <f t="shared" ref="BP21:BQ21" si="83">BP4-BP16</f>
        <v>0</v>
      </c>
      <c r="BQ21" s="3">
        <f t="shared" si="83"/>
        <v>0</v>
      </c>
      <c r="BR21" s="3">
        <f t="shared" ref="BR21:BS21" si="84">BR4-BR16</f>
        <v>0</v>
      </c>
      <c r="BS21" s="3">
        <f t="shared" si="84"/>
        <v>0</v>
      </c>
      <c r="BT21" s="3">
        <f t="shared" ref="BT21" si="85">BT4-BT16</f>
        <v>0</v>
      </c>
    </row>
    <row r="22" spans="2:72" x14ac:dyDescent="0.35">
      <c r="B22" s="3">
        <f t="shared" ref="B22:M22" si="86">B5-B17</f>
        <v>0</v>
      </c>
      <c r="C22" s="3">
        <f t="shared" si="86"/>
        <v>0</v>
      </c>
      <c r="D22" s="3">
        <f t="shared" si="86"/>
        <v>0</v>
      </c>
      <c r="E22" s="3">
        <f t="shared" si="86"/>
        <v>0</v>
      </c>
      <c r="F22" s="3">
        <f t="shared" si="86"/>
        <v>0</v>
      </c>
      <c r="G22" s="3">
        <f t="shared" si="86"/>
        <v>0</v>
      </c>
      <c r="H22" s="3">
        <f t="shared" si="86"/>
        <v>0</v>
      </c>
      <c r="I22" s="3">
        <f t="shared" si="86"/>
        <v>0</v>
      </c>
      <c r="J22" s="3">
        <f t="shared" si="86"/>
        <v>0</v>
      </c>
      <c r="K22" s="3">
        <f t="shared" si="86"/>
        <v>0</v>
      </c>
      <c r="L22" s="3">
        <f t="shared" si="86"/>
        <v>0</v>
      </c>
      <c r="M22" s="3">
        <f t="shared" si="86"/>
        <v>0</v>
      </c>
      <c r="N22" s="3">
        <f t="shared" ref="N22" si="87">N5-N17</f>
        <v>0</v>
      </c>
      <c r="O22" s="3">
        <f t="shared" si="31"/>
        <v>0</v>
      </c>
      <c r="P22" s="3">
        <f t="shared" si="31"/>
        <v>0</v>
      </c>
      <c r="Q22" s="3">
        <f t="shared" si="31"/>
        <v>0</v>
      </c>
      <c r="R22" s="3">
        <f t="shared" si="31"/>
        <v>0</v>
      </c>
      <c r="S22" s="3">
        <f t="shared" si="31"/>
        <v>0</v>
      </c>
      <c r="T22" s="3">
        <f t="shared" si="31"/>
        <v>0</v>
      </c>
      <c r="U22" s="3">
        <f t="shared" ref="U22:V22" si="88">U5-U17</f>
        <v>0</v>
      </c>
      <c r="V22" s="3">
        <f t="shared" si="88"/>
        <v>0</v>
      </c>
      <c r="W22" s="3">
        <f t="shared" ref="W22:Y22" si="89">W5-W17</f>
        <v>0</v>
      </c>
      <c r="X22" s="3">
        <f t="shared" si="89"/>
        <v>0</v>
      </c>
      <c r="Y22" s="3">
        <f t="shared" si="89"/>
        <v>0</v>
      </c>
      <c r="Z22" s="3">
        <f t="shared" ref="Z22:AB22" si="90">Z5-Z17</f>
        <v>0</v>
      </c>
      <c r="AA22" s="3">
        <f t="shared" ref="AA22" si="91">AA5-AA17</f>
        <v>0</v>
      </c>
      <c r="AB22" s="3">
        <f t="shared" si="90"/>
        <v>0</v>
      </c>
      <c r="AC22" s="3">
        <f t="shared" ref="AC22:AE22" si="92">AC5-AC17</f>
        <v>0</v>
      </c>
      <c r="AD22" s="3">
        <f t="shared" si="92"/>
        <v>0</v>
      </c>
      <c r="AE22" s="3">
        <f t="shared" si="92"/>
        <v>0</v>
      </c>
      <c r="AF22" s="3">
        <f t="shared" ref="AF22:AG22" si="93">AF5-AF17</f>
        <v>0</v>
      </c>
      <c r="AG22" s="3">
        <f t="shared" si="93"/>
        <v>0</v>
      </c>
      <c r="AH22" s="3">
        <f t="shared" ref="AH22:AI22" si="94">AH5-AH17</f>
        <v>0</v>
      </c>
      <c r="AI22" s="3">
        <f t="shared" si="94"/>
        <v>0</v>
      </c>
      <c r="AJ22" s="3">
        <f t="shared" ref="AJ22:AK22" si="95">AJ5-AJ17</f>
        <v>0</v>
      </c>
      <c r="AK22" s="3">
        <f t="shared" si="95"/>
        <v>0</v>
      </c>
      <c r="AL22" s="3">
        <f t="shared" ref="AL22:AM22" si="96">AL5-AL17</f>
        <v>0</v>
      </c>
      <c r="AM22" s="3">
        <f t="shared" si="96"/>
        <v>0</v>
      </c>
      <c r="AN22" s="3">
        <f t="shared" ref="AN22:AO22" si="97">AN5-AN17</f>
        <v>0</v>
      </c>
      <c r="AO22" s="3">
        <f t="shared" si="97"/>
        <v>0</v>
      </c>
      <c r="AP22" s="3">
        <f t="shared" ref="AP22:AQ22" si="98">AP5-AP17</f>
        <v>0</v>
      </c>
      <c r="AQ22" s="3">
        <f t="shared" si="98"/>
        <v>0</v>
      </c>
      <c r="AR22" s="3">
        <f t="shared" ref="AR22:AS22" si="99">AR5-AR17</f>
        <v>0</v>
      </c>
      <c r="AS22" s="3">
        <f t="shared" si="99"/>
        <v>0</v>
      </c>
      <c r="AT22" s="3">
        <f t="shared" ref="AT22:AU22" si="100">AT5-AT17</f>
        <v>0</v>
      </c>
      <c r="AU22" s="3">
        <f t="shared" si="100"/>
        <v>0</v>
      </c>
      <c r="AV22" s="3">
        <f t="shared" ref="AV22:AW22" si="101">AV5-AV17</f>
        <v>0</v>
      </c>
      <c r="AW22" s="3">
        <f t="shared" si="101"/>
        <v>0</v>
      </c>
      <c r="AX22" s="3">
        <f t="shared" ref="AX22:AY22" si="102">AX5-AX17</f>
        <v>0</v>
      </c>
      <c r="AY22" s="3">
        <f t="shared" si="102"/>
        <v>0</v>
      </c>
      <c r="AZ22" s="3">
        <f t="shared" ref="AZ22:BA22" si="103">AZ5-AZ17</f>
        <v>0</v>
      </c>
      <c r="BA22" s="3">
        <f t="shared" si="103"/>
        <v>0</v>
      </c>
      <c r="BB22" s="3">
        <f t="shared" ref="BB22:BC22" si="104">BB5-BB17</f>
        <v>0</v>
      </c>
      <c r="BC22" s="3">
        <f t="shared" si="104"/>
        <v>0</v>
      </c>
      <c r="BD22" s="3">
        <f t="shared" ref="BD22:BE22" si="105">BD5-BD17</f>
        <v>0</v>
      </c>
      <c r="BE22" s="3">
        <f t="shared" si="105"/>
        <v>0</v>
      </c>
      <c r="BF22" s="3">
        <f t="shared" ref="BF22:BG22" si="106">BF5-BF17</f>
        <v>0</v>
      </c>
      <c r="BG22" s="3">
        <f t="shared" si="106"/>
        <v>0</v>
      </c>
      <c r="BH22" s="3">
        <f t="shared" ref="BH22:BI22" si="107">BH5-BH17</f>
        <v>0</v>
      </c>
      <c r="BI22" s="3">
        <f t="shared" si="107"/>
        <v>0</v>
      </c>
      <c r="BJ22" s="3">
        <f t="shared" ref="BJ22:BK22" si="108">BJ5-BJ17</f>
        <v>0</v>
      </c>
      <c r="BK22" s="3">
        <f t="shared" si="108"/>
        <v>0</v>
      </c>
      <c r="BL22" s="3">
        <f t="shared" ref="BL22:BM22" si="109">BL5-BL17</f>
        <v>0</v>
      </c>
      <c r="BM22" s="3">
        <f t="shared" si="109"/>
        <v>0</v>
      </c>
      <c r="BN22" s="3">
        <f t="shared" ref="BN22:BO22" si="110">BN5-BN17</f>
        <v>0</v>
      </c>
      <c r="BO22" s="3">
        <f t="shared" si="110"/>
        <v>0</v>
      </c>
      <c r="BP22" s="3">
        <f t="shared" ref="BP22:BQ22" si="111">BP5-BP17</f>
        <v>0</v>
      </c>
      <c r="BQ22" s="3">
        <f t="shared" si="111"/>
        <v>0</v>
      </c>
      <c r="BR22" s="3">
        <f t="shared" ref="BR22:BS22" si="112">BR5-BR17</f>
        <v>0</v>
      </c>
      <c r="BS22" s="3">
        <f t="shared" si="112"/>
        <v>0</v>
      </c>
      <c r="BT22" s="3">
        <f t="shared" ref="BT22" si="113">BT5-BT17</f>
        <v>0</v>
      </c>
    </row>
    <row r="24" spans="2:72" x14ac:dyDescent="0.35">
      <c r="B24" s="3">
        <v>83418.320000000007</v>
      </c>
      <c r="C24" s="3">
        <v>54561.849999999984</v>
      </c>
      <c r="D24" s="3">
        <v>81034.909999999989</v>
      </c>
      <c r="E24" s="3">
        <v>86876.419999999984</v>
      </c>
      <c r="F24" s="3">
        <v>68298.100000000064</v>
      </c>
      <c r="G24" s="3">
        <v>72185.720000000059</v>
      </c>
      <c r="H24" s="3">
        <v>62113.759999999987</v>
      </c>
      <c r="I24" s="3">
        <v>61470.920000000071</v>
      </c>
      <c r="J24" s="3">
        <v>79487.220000000074</v>
      </c>
      <c r="K24" s="3">
        <v>79296.88</v>
      </c>
      <c r="L24" s="3">
        <v>63451.469999999987</v>
      </c>
      <c r="M24" s="3">
        <v>90992.609999999957</v>
      </c>
      <c r="N24" s="3">
        <v>134287.22</v>
      </c>
      <c r="O24" s="3">
        <v>94857.489999999903</v>
      </c>
      <c r="P24" s="3">
        <v>75204.539999999994</v>
      </c>
      <c r="Q24" s="3">
        <v>110991.05000000018</v>
      </c>
      <c r="R24" s="3">
        <v>87317.71</v>
      </c>
      <c r="S24" s="3">
        <v>77321.619999999981</v>
      </c>
      <c r="T24" s="3">
        <v>102332.86999999991</v>
      </c>
      <c r="U24" s="3">
        <v>87194.34</v>
      </c>
      <c r="V24" s="3">
        <v>91647.16</v>
      </c>
      <c r="W24" s="3">
        <v>117514.61</v>
      </c>
      <c r="X24" s="3">
        <v>69605.53</v>
      </c>
      <c r="Y24" s="3">
        <v>57174.879999999997</v>
      </c>
      <c r="Z24" s="3">
        <v>156184.35999999999</v>
      </c>
      <c r="AA24" s="3">
        <v>149559.03</v>
      </c>
      <c r="AB24" s="3">
        <v>112121.25</v>
      </c>
      <c r="AC24" s="3">
        <v>67050.73</v>
      </c>
      <c r="AD24" s="3">
        <v>78872.61</v>
      </c>
      <c r="AE24" s="3">
        <v>79423.05</v>
      </c>
      <c r="AF24" s="3">
        <v>94344.8</v>
      </c>
      <c r="AG24" s="3">
        <v>98495.24</v>
      </c>
      <c r="AH24" s="3">
        <v>93932.12</v>
      </c>
      <c r="AI24" s="3">
        <v>89957.75</v>
      </c>
      <c r="AJ24" s="3">
        <f>110008.56</f>
        <v>110008.56</v>
      </c>
      <c r="AK24" s="3">
        <v>118834.24000000001</v>
      </c>
      <c r="AL24" s="3">
        <v>63991.14</v>
      </c>
      <c r="AM24" s="3">
        <v>171402.37</v>
      </c>
      <c r="AN24" s="3">
        <f>119184.64+0.67</f>
        <v>119185.31</v>
      </c>
      <c r="AO24" s="3">
        <v>81429.98</v>
      </c>
      <c r="AP24" s="3">
        <v>85939.82</v>
      </c>
      <c r="AQ24" s="3">
        <v>141445.15</v>
      </c>
      <c r="AR24" s="3">
        <v>99378.99</v>
      </c>
      <c r="AS24" s="3">
        <v>100441.76</v>
      </c>
      <c r="AT24" s="3">
        <v>118289.98</v>
      </c>
      <c r="AU24" s="3">
        <v>85732.32</v>
      </c>
      <c r="AV24" s="3">
        <v>85205.98</v>
      </c>
      <c r="AW24" s="3">
        <v>85372.24</v>
      </c>
      <c r="AX24" s="3">
        <v>79471.59</v>
      </c>
      <c r="AY24" s="3">
        <v>263858.06</v>
      </c>
      <c r="AZ24" s="3">
        <v>156259.62</v>
      </c>
      <c r="BA24" s="3">
        <v>76477.39</v>
      </c>
      <c r="BB24" s="3">
        <v>90745.29</v>
      </c>
      <c r="BC24" s="3">
        <v>100283.86</v>
      </c>
      <c r="BD24" s="3">
        <v>89506.92</v>
      </c>
      <c r="BE24" s="3">
        <v>89528.6</v>
      </c>
      <c r="BF24" s="3">
        <v>118460.21</v>
      </c>
      <c r="BG24" s="3">
        <v>110635.12</v>
      </c>
      <c r="BH24" s="3">
        <v>106852.33</v>
      </c>
      <c r="BI24" s="3">
        <v>126113.29</v>
      </c>
      <c r="BJ24" s="3">
        <v>168198.73</v>
      </c>
      <c r="BK24" s="3">
        <v>183361.03</v>
      </c>
      <c r="BL24" s="3">
        <v>197287.37</v>
      </c>
      <c r="BM24" s="3">
        <v>214228.82</v>
      </c>
      <c r="BN24" s="3">
        <f>91287.7-2544.54</f>
        <v>88743.16</v>
      </c>
      <c r="BO24" s="3">
        <v>104353.38</v>
      </c>
      <c r="BP24" s="3">
        <v>122956.5</v>
      </c>
      <c r="BQ24" s="3">
        <v>112254.37</v>
      </c>
      <c r="BR24" s="3">
        <v>102918.91</v>
      </c>
      <c r="BS24" s="3">
        <v>226517.8</v>
      </c>
      <c r="BT24" s="3">
        <v>114348.14</v>
      </c>
    </row>
    <row r="25" spans="2:72" x14ac:dyDescent="0.35">
      <c r="B25" s="3">
        <v>17155.590000000004</v>
      </c>
      <c r="C25" s="3">
        <v>9664.91</v>
      </c>
      <c r="D25" s="3">
        <v>7526.8199999999979</v>
      </c>
      <c r="E25" s="3">
        <v>7308.6599999999971</v>
      </c>
      <c r="F25" s="3">
        <v>7631.71</v>
      </c>
      <c r="G25" s="3">
        <v>6738.3600000000015</v>
      </c>
      <c r="H25" s="3">
        <v>6861.63</v>
      </c>
      <c r="I25" s="3">
        <v>10006.159999999996</v>
      </c>
      <c r="J25" s="3">
        <v>8121.3600000000024</v>
      </c>
      <c r="K25" s="3">
        <v>9686.3199999999961</v>
      </c>
      <c r="L25" s="3">
        <v>8392.1499999999978</v>
      </c>
      <c r="M25" s="3">
        <v>13471.86</v>
      </c>
      <c r="N25" s="3">
        <v>11385.78</v>
      </c>
      <c r="O25" s="3">
        <v>16872.339999999993</v>
      </c>
      <c r="P25" s="3">
        <v>8772.9699999999993</v>
      </c>
      <c r="Q25" s="3">
        <v>9029.98</v>
      </c>
      <c r="R25" s="3">
        <v>10859.039999999999</v>
      </c>
      <c r="S25" s="3">
        <v>7189.4</v>
      </c>
      <c r="T25" s="3">
        <v>7402.8400000000011</v>
      </c>
      <c r="U25" s="3">
        <v>7696.3100000000022</v>
      </c>
      <c r="V25" s="3">
        <v>7780.97</v>
      </c>
      <c r="W25" s="3">
        <v>7998.78</v>
      </c>
      <c r="X25" s="3">
        <v>11578.72</v>
      </c>
      <c r="Y25" s="3">
        <v>5744.51</v>
      </c>
      <c r="Z25" s="3">
        <v>10818.04</v>
      </c>
      <c r="AA25" s="3">
        <v>11473.84</v>
      </c>
      <c r="AB25" s="3">
        <v>9383.4699999999993</v>
      </c>
      <c r="AC25" s="3">
        <v>10099.32</v>
      </c>
      <c r="AD25" s="3">
        <v>10774.68</v>
      </c>
      <c r="AE25" s="3">
        <v>16287.75</v>
      </c>
      <c r="AF25" s="3">
        <v>6745.42</v>
      </c>
      <c r="AG25" s="3">
        <v>7527.4</v>
      </c>
      <c r="AH25" s="3">
        <v>6271.75</v>
      </c>
      <c r="AI25" s="3">
        <v>7228.27</v>
      </c>
      <c r="AJ25" s="3">
        <v>16007.23</v>
      </c>
      <c r="AK25" s="3">
        <v>13811.59</v>
      </c>
      <c r="AL25" s="3">
        <v>6888.7</v>
      </c>
      <c r="AM25" s="3">
        <v>7992.55</v>
      </c>
      <c r="AN25" s="3">
        <v>7456.27</v>
      </c>
      <c r="AO25" s="3">
        <v>7415.04</v>
      </c>
      <c r="AP25" s="3">
        <v>6693.09</v>
      </c>
      <c r="AQ25" s="3">
        <v>6489.7</v>
      </c>
      <c r="AR25" s="3">
        <v>6543.55</v>
      </c>
      <c r="AS25" s="3">
        <v>10284.620000000001</v>
      </c>
      <c r="AT25" s="3">
        <v>6164.88</v>
      </c>
      <c r="AU25" s="3">
        <v>6312.89</v>
      </c>
      <c r="AV25" s="3">
        <v>17804.98</v>
      </c>
      <c r="AW25" s="3">
        <v>15824.76</v>
      </c>
      <c r="AX25" s="3">
        <v>5282.4</v>
      </c>
      <c r="AY25" s="3">
        <v>5930.56</v>
      </c>
      <c r="AZ25" s="3">
        <v>7246.88</v>
      </c>
      <c r="BA25" s="3">
        <v>5178.3900000000003</v>
      </c>
      <c r="BB25" s="3">
        <v>25556.79</v>
      </c>
      <c r="BC25" s="3">
        <v>1687.32</v>
      </c>
      <c r="BD25" s="3">
        <v>1841.81</v>
      </c>
      <c r="BE25" s="3">
        <v>1110.54</v>
      </c>
      <c r="BF25" s="3">
        <v>1639.87</v>
      </c>
      <c r="BG25" s="3">
        <v>2126.4299999999998</v>
      </c>
      <c r="BH25" s="3">
        <v>2087.98</v>
      </c>
      <c r="BI25" s="3">
        <v>2228.0100000000002</v>
      </c>
      <c r="BJ25" s="3">
        <v>2424.62</v>
      </c>
      <c r="BK25" s="3">
        <v>5300.2</v>
      </c>
      <c r="BL25" s="3">
        <v>3886.68</v>
      </c>
      <c r="BM25" s="3">
        <v>9217.77</v>
      </c>
      <c r="BN25" s="3">
        <v>2544.54</v>
      </c>
      <c r="BO25" s="3">
        <v>2588.9299999999998</v>
      </c>
      <c r="BP25" s="3">
        <v>19845.900000000001</v>
      </c>
      <c r="BQ25" s="3"/>
      <c r="BR25" s="3"/>
      <c r="BS25" s="3"/>
      <c r="BT25" s="3"/>
    </row>
    <row r="26" spans="2:72" x14ac:dyDescent="0.35">
      <c r="B26" s="3">
        <v>6082.1500000000005</v>
      </c>
      <c r="C26" s="3">
        <v>2478.65</v>
      </c>
      <c r="D26" s="3">
        <v>3868.5999999999995</v>
      </c>
      <c r="E26" s="3">
        <v>2782.84</v>
      </c>
      <c r="F26" s="3">
        <v>2318.2699999999995</v>
      </c>
      <c r="G26" s="3">
        <v>2500.6200000000003</v>
      </c>
      <c r="H26" s="3">
        <v>3609.8199999999997</v>
      </c>
      <c r="I26" s="3">
        <v>3805.8700000000003</v>
      </c>
      <c r="J26" s="3">
        <v>4236.5</v>
      </c>
      <c r="K26" s="3">
        <v>10758.009999999998</v>
      </c>
      <c r="L26" s="3">
        <v>3905.9399999999991</v>
      </c>
      <c r="M26" s="3">
        <v>10780.879999999997</v>
      </c>
      <c r="N26" s="3">
        <v>11373.69</v>
      </c>
      <c r="O26" s="3">
        <v>7680.93</v>
      </c>
      <c r="P26" s="3">
        <v>4957.3599999999997</v>
      </c>
      <c r="Q26" s="3">
        <v>6074.01</v>
      </c>
      <c r="R26" s="3">
        <v>3593.24</v>
      </c>
      <c r="S26" s="3">
        <v>3874.6499999999992</v>
      </c>
      <c r="T26" s="3">
        <v>4286.7900000000009</v>
      </c>
      <c r="U26" s="3">
        <v>6852.75</v>
      </c>
      <c r="V26" s="3">
        <v>4364.49</v>
      </c>
      <c r="W26" s="3">
        <v>3994.61</v>
      </c>
      <c r="X26" s="3">
        <v>5593.12</v>
      </c>
      <c r="Y26" s="3">
        <v>6080.34</v>
      </c>
      <c r="Z26" s="3">
        <v>13225.42</v>
      </c>
      <c r="AA26" s="3">
        <v>14851.44</v>
      </c>
      <c r="AB26" s="3">
        <v>11478.69</v>
      </c>
      <c r="AC26" s="3">
        <v>8076.47</v>
      </c>
      <c r="AD26" s="3">
        <v>15260.87</v>
      </c>
      <c r="AE26" s="3">
        <v>7453.27</v>
      </c>
      <c r="AF26" s="3">
        <v>8805.51</v>
      </c>
      <c r="AG26" s="3">
        <v>2502.98</v>
      </c>
      <c r="AH26" s="3">
        <v>2232.7199999999998</v>
      </c>
      <c r="AI26" s="3">
        <v>2391.5500000000002</v>
      </c>
      <c r="AJ26" s="3">
        <v>2589.9299999999998</v>
      </c>
      <c r="AK26" s="3">
        <v>4085.24</v>
      </c>
      <c r="AL26" s="3">
        <v>3550.76</v>
      </c>
      <c r="AM26" s="3">
        <v>6994.74</v>
      </c>
      <c r="AN26" s="3">
        <v>3511.93</v>
      </c>
      <c r="AO26" s="3">
        <v>2405.3000000000002</v>
      </c>
      <c r="AP26" s="3">
        <v>2591</v>
      </c>
      <c r="AQ26" s="3">
        <v>3058.91</v>
      </c>
      <c r="AR26" s="3">
        <v>2386.42</v>
      </c>
      <c r="AS26" s="3">
        <v>2812.53</v>
      </c>
      <c r="AT26" s="3">
        <v>2543.33</v>
      </c>
      <c r="AU26" s="3">
        <v>3884.42</v>
      </c>
      <c r="AV26" s="3">
        <v>13165.81</v>
      </c>
      <c r="AW26" s="3">
        <v>1857.84</v>
      </c>
      <c r="AX26" s="3">
        <v>3618.09</v>
      </c>
      <c r="AY26" s="3">
        <v>10970.84</v>
      </c>
      <c r="AZ26" s="3">
        <v>1988.42</v>
      </c>
      <c r="BA26" s="3">
        <v>1818.85</v>
      </c>
      <c r="BB26" s="3">
        <v>1876.21</v>
      </c>
      <c r="BC26" s="3">
        <v>17179.490000000002</v>
      </c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</row>
    <row r="27" spans="2:72" x14ac:dyDescent="0.35">
      <c r="B27" s="3">
        <v>3510.1200000000003</v>
      </c>
      <c r="C27" s="3">
        <v>2181.73</v>
      </c>
      <c r="D27" s="3">
        <v>2647.03</v>
      </c>
      <c r="E27" s="3">
        <v>4891.329999999999</v>
      </c>
      <c r="F27" s="3">
        <v>2611.5500000000002</v>
      </c>
      <c r="G27" s="3">
        <v>6079.3300000000017</v>
      </c>
      <c r="H27" s="3">
        <v>3005.6</v>
      </c>
      <c r="I27" s="3">
        <v>3004.6400000000003</v>
      </c>
      <c r="J27" s="3">
        <v>3780.55</v>
      </c>
      <c r="K27" s="3">
        <v>4800.2000000000007</v>
      </c>
      <c r="L27" s="3">
        <v>5317.33</v>
      </c>
      <c r="M27" s="3">
        <v>11553.61</v>
      </c>
      <c r="N27" s="3">
        <v>6692.7</v>
      </c>
      <c r="O27" s="3">
        <v>9300.82</v>
      </c>
      <c r="P27" s="3">
        <v>7038.9400000000014</v>
      </c>
      <c r="Q27" s="3">
        <v>5161.6199999999981</v>
      </c>
      <c r="R27" s="3">
        <v>7618.5399999999991</v>
      </c>
      <c r="S27" s="3">
        <v>12805.070000000002</v>
      </c>
      <c r="T27" s="3">
        <v>8785.7300000000014</v>
      </c>
      <c r="U27" s="3">
        <v>4285.5800000000008</v>
      </c>
      <c r="V27" s="3">
        <v>3659.64</v>
      </c>
      <c r="W27" s="3">
        <v>3451.72</v>
      </c>
      <c r="X27" s="3">
        <v>10331.040000000001</v>
      </c>
      <c r="Y27" s="3">
        <v>2339.79</v>
      </c>
      <c r="Z27" s="3">
        <v>5675.52</v>
      </c>
      <c r="AA27" s="3">
        <v>6344.16</v>
      </c>
      <c r="AB27" s="3">
        <v>3398.11</v>
      </c>
      <c r="AC27" s="3">
        <v>3488.04</v>
      </c>
      <c r="AD27" s="3">
        <v>12697.64</v>
      </c>
      <c r="AE27" s="3">
        <v>984.83</v>
      </c>
      <c r="AF27" s="3">
        <v>1917.98</v>
      </c>
      <c r="AG27" s="3">
        <v>1846.37</v>
      </c>
      <c r="AH27" s="3">
        <f>1799.84</f>
        <v>1799.84</v>
      </c>
      <c r="AI27" s="3">
        <v>3728.55</v>
      </c>
      <c r="AJ27" s="3">
        <v>6923.74</v>
      </c>
      <c r="AK27" s="3">
        <v>2276.0700000000002</v>
      </c>
      <c r="AL27" s="3">
        <v>13495.78</v>
      </c>
      <c r="AM27" s="3"/>
      <c r="AN27" s="3">
        <v>0</v>
      </c>
      <c r="AO27" s="3">
        <v>0</v>
      </c>
      <c r="AP27" s="3">
        <v>0</v>
      </c>
      <c r="AQ27" s="3">
        <v>0</v>
      </c>
      <c r="AR27" s="3"/>
      <c r="AS27" s="3">
        <v>4074.81</v>
      </c>
      <c r="AT27" s="3">
        <v>0</v>
      </c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</row>
    <row r="28" spans="2:72" x14ac:dyDescent="0.35">
      <c r="BO28" s="4"/>
      <c r="BP28" s="4"/>
      <c r="BQ28" s="4"/>
      <c r="BR28" s="4"/>
      <c r="BS28" s="4"/>
      <c r="BT28" s="4"/>
    </row>
    <row r="29" spans="2:72" x14ac:dyDescent="0.35">
      <c r="B29" s="4">
        <f t="shared" ref="B29:M29" si="114">B7-B24</f>
        <v>0</v>
      </c>
      <c r="C29" s="4">
        <f t="shared" si="114"/>
        <v>0</v>
      </c>
      <c r="D29" s="4">
        <f t="shared" si="114"/>
        <v>0</v>
      </c>
      <c r="E29" s="4">
        <f t="shared" si="114"/>
        <v>0</v>
      </c>
      <c r="F29" s="4">
        <f t="shared" si="114"/>
        <v>0</v>
      </c>
      <c r="G29" s="4">
        <f t="shared" si="114"/>
        <v>0</v>
      </c>
      <c r="H29" s="4">
        <f t="shared" si="114"/>
        <v>0</v>
      </c>
      <c r="I29" s="4">
        <f t="shared" si="114"/>
        <v>0</v>
      </c>
      <c r="J29" s="4">
        <f t="shared" si="114"/>
        <v>0</v>
      </c>
      <c r="K29" s="4">
        <f t="shared" si="114"/>
        <v>0</v>
      </c>
      <c r="L29" s="4">
        <f t="shared" si="114"/>
        <v>0</v>
      </c>
      <c r="M29" s="4">
        <f t="shared" si="114"/>
        <v>0</v>
      </c>
      <c r="N29" s="4">
        <f t="shared" ref="N29" si="115">N7-N24</f>
        <v>0</v>
      </c>
      <c r="O29" s="4">
        <f>O7-O24</f>
        <v>0</v>
      </c>
      <c r="P29" s="4">
        <f t="shared" ref="P29:T29" si="116">P7-P24</f>
        <v>0</v>
      </c>
      <c r="Q29" s="4">
        <f t="shared" si="116"/>
        <v>0</v>
      </c>
      <c r="R29" s="4">
        <f t="shared" si="116"/>
        <v>0</v>
      </c>
      <c r="S29" s="4">
        <f t="shared" si="116"/>
        <v>0</v>
      </c>
      <c r="T29" s="4">
        <f t="shared" si="116"/>
        <v>0</v>
      </c>
      <c r="U29" s="4">
        <f t="shared" ref="U29:V29" si="117">U7-U24</f>
        <v>0</v>
      </c>
      <c r="V29" s="4">
        <f t="shared" si="117"/>
        <v>0</v>
      </c>
      <c r="W29" s="4">
        <f t="shared" ref="W29:Y29" si="118">W7-W24</f>
        <v>0</v>
      </c>
      <c r="X29" s="4">
        <f t="shared" si="118"/>
        <v>0</v>
      </c>
      <c r="Y29" s="4">
        <f t="shared" si="118"/>
        <v>0</v>
      </c>
      <c r="Z29" s="4">
        <f t="shared" ref="Z29:AB29" si="119">Z7-Z24</f>
        <v>0</v>
      </c>
      <c r="AA29" s="4">
        <f t="shared" ref="AA29" si="120">AA7-AA24</f>
        <v>0</v>
      </c>
      <c r="AB29" s="4">
        <f t="shared" si="119"/>
        <v>0</v>
      </c>
      <c r="AC29" s="4">
        <f t="shared" ref="AC29:AE29" si="121">AC7-AC24</f>
        <v>0</v>
      </c>
      <c r="AD29" s="4">
        <f t="shared" si="121"/>
        <v>0</v>
      </c>
      <c r="AE29" s="4">
        <f t="shared" si="121"/>
        <v>0</v>
      </c>
      <c r="AF29" s="4">
        <f t="shared" ref="AF29:AG29" si="122">AF7-AF24</f>
        <v>0</v>
      </c>
      <c r="AG29" s="4">
        <f t="shared" si="122"/>
        <v>0</v>
      </c>
      <c r="AH29" s="4">
        <f t="shared" ref="AH29:AI29" si="123">AH7-AH24</f>
        <v>0</v>
      </c>
      <c r="AI29" s="4">
        <f t="shared" si="123"/>
        <v>0</v>
      </c>
      <c r="AJ29" s="4">
        <f t="shared" ref="AJ29:AK29" si="124">AJ7-AJ24</f>
        <v>0</v>
      </c>
      <c r="AK29" s="4">
        <f t="shared" si="124"/>
        <v>0</v>
      </c>
      <c r="AL29" s="4">
        <f t="shared" ref="AL29:AM29" si="125">AL7-AL24</f>
        <v>0</v>
      </c>
      <c r="AM29" s="4">
        <f t="shared" si="125"/>
        <v>0</v>
      </c>
      <c r="AN29" s="4">
        <f t="shared" ref="AN29:AO29" si="126">AN7-AN24</f>
        <v>-1.8917489796876907E-10</v>
      </c>
      <c r="AO29" s="4">
        <f t="shared" si="126"/>
        <v>1.4551915228366852E-10</v>
      </c>
      <c r="AP29" s="4">
        <f t="shared" ref="AP29:AQ29" si="127">AP7-AP24</f>
        <v>1.4551915228366852E-10</v>
      </c>
      <c r="AQ29" s="4">
        <f t="shared" si="127"/>
        <v>0</v>
      </c>
      <c r="AR29" s="4">
        <f t="shared" ref="AR29:AS29" si="128">AR7-AR24</f>
        <v>0</v>
      </c>
      <c r="AS29" s="4">
        <f t="shared" si="128"/>
        <v>0</v>
      </c>
      <c r="AT29" s="4">
        <f t="shared" ref="AT29:AU29" si="129">AT7-AT24</f>
        <v>1.4551915228366852E-10</v>
      </c>
      <c r="AU29" s="4">
        <f t="shared" si="129"/>
        <v>0</v>
      </c>
      <c r="AV29" s="4">
        <f t="shared" ref="AV29:AW29" si="130">AV7-AV24</f>
        <v>0</v>
      </c>
      <c r="AW29" s="4">
        <f t="shared" si="130"/>
        <v>0</v>
      </c>
      <c r="AX29" s="4">
        <f t="shared" ref="AX29:AY29" si="131">AX7-AX24</f>
        <v>0</v>
      </c>
      <c r="AY29" s="4">
        <f t="shared" si="131"/>
        <v>0</v>
      </c>
      <c r="AZ29" s="4">
        <f t="shared" ref="AZ29:BA29" si="132">AZ7-AZ24</f>
        <v>0</v>
      </c>
      <c r="BA29" s="4">
        <f t="shared" si="132"/>
        <v>0</v>
      </c>
      <c r="BB29" s="4">
        <f t="shared" ref="BB29:BC29" si="133">BB7-BB24</f>
        <v>0</v>
      </c>
      <c r="BC29" s="4">
        <f t="shared" si="133"/>
        <v>0</v>
      </c>
      <c r="BD29" s="4">
        <f t="shared" ref="BD29:BE29" si="134">BD7-BD24</f>
        <v>0</v>
      </c>
      <c r="BE29" s="4">
        <f t="shared" si="134"/>
        <v>0</v>
      </c>
      <c r="BF29" s="4">
        <f t="shared" ref="BF29:BG29" si="135">BF7-BF24</f>
        <v>0</v>
      </c>
      <c r="BG29" s="4">
        <f t="shared" si="135"/>
        <v>0</v>
      </c>
      <c r="BH29" s="4">
        <f t="shared" ref="BH29:BI29" si="136">BH7-BH24</f>
        <v>0</v>
      </c>
      <c r="BI29" s="4">
        <f t="shared" si="136"/>
        <v>0</v>
      </c>
      <c r="BJ29" s="4">
        <f t="shared" ref="BJ29:BK29" si="137">BJ7-BJ24</f>
        <v>0</v>
      </c>
      <c r="BK29" s="4">
        <f t="shared" si="137"/>
        <v>0</v>
      </c>
      <c r="BL29" s="4">
        <f t="shared" ref="BL29:BM29" si="138">BL7-BL24</f>
        <v>0</v>
      </c>
      <c r="BM29" s="4">
        <f t="shared" si="138"/>
        <v>0</v>
      </c>
      <c r="BN29" s="4">
        <f t="shared" ref="BN29:BO29" si="139">BN7-BN24</f>
        <v>0</v>
      </c>
      <c r="BO29" s="4">
        <f t="shared" si="139"/>
        <v>0</v>
      </c>
      <c r="BP29" s="4">
        <f t="shared" ref="BP29:BQ29" si="140">BP7-BP24</f>
        <v>-1.6007106751203537E-10</v>
      </c>
      <c r="BQ29" s="4">
        <f t="shared" si="140"/>
        <v>2.1827872842550278E-10</v>
      </c>
      <c r="BR29" s="4">
        <f t="shared" ref="BR29:BS29" si="141">BR7-BR24</f>
        <v>0</v>
      </c>
      <c r="BS29" s="4">
        <f t="shared" si="141"/>
        <v>0</v>
      </c>
      <c r="BT29" s="4">
        <f t="shared" ref="BT29" si="142">BT7-BT24</f>
        <v>0</v>
      </c>
    </row>
    <row r="30" spans="2:72" x14ac:dyDescent="0.35">
      <c r="B30" s="4">
        <f t="shared" ref="B30:M30" si="143">B8-B25</f>
        <v>0</v>
      </c>
      <c r="C30" s="4">
        <f t="shared" si="143"/>
        <v>0</v>
      </c>
      <c r="D30" s="4">
        <f t="shared" si="143"/>
        <v>0</v>
      </c>
      <c r="E30" s="4">
        <f t="shared" si="143"/>
        <v>0</v>
      </c>
      <c r="F30" s="4">
        <f t="shared" si="143"/>
        <v>0</v>
      </c>
      <c r="G30" s="4">
        <f t="shared" si="143"/>
        <v>0</v>
      </c>
      <c r="H30" s="4">
        <f t="shared" si="143"/>
        <v>0</v>
      </c>
      <c r="I30" s="4">
        <f t="shared" si="143"/>
        <v>0</v>
      </c>
      <c r="J30" s="4">
        <f t="shared" si="143"/>
        <v>0</v>
      </c>
      <c r="K30" s="4">
        <f t="shared" si="143"/>
        <v>0</v>
      </c>
      <c r="L30" s="4">
        <f t="shared" si="143"/>
        <v>0</v>
      </c>
      <c r="M30" s="4">
        <f t="shared" si="143"/>
        <v>0</v>
      </c>
      <c r="N30" s="4">
        <f t="shared" ref="N30" si="144">N8-N25</f>
        <v>0</v>
      </c>
      <c r="O30" s="4">
        <f t="shared" ref="O30:T32" si="145">O8-O25</f>
        <v>0</v>
      </c>
      <c r="P30" s="4">
        <f t="shared" si="145"/>
        <v>0</v>
      </c>
      <c r="Q30" s="4">
        <f t="shared" si="145"/>
        <v>0</v>
      </c>
      <c r="R30" s="4">
        <f t="shared" si="145"/>
        <v>0</v>
      </c>
      <c r="S30" s="4">
        <f t="shared" si="145"/>
        <v>0</v>
      </c>
      <c r="T30" s="4">
        <f t="shared" si="145"/>
        <v>0</v>
      </c>
      <c r="U30" s="4">
        <f t="shared" ref="U30:V30" si="146">U8-U25</f>
        <v>0</v>
      </c>
      <c r="V30" s="4">
        <f t="shared" si="146"/>
        <v>0</v>
      </c>
      <c r="W30" s="4">
        <f t="shared" ref="W30:Y30" si="147">W8-W25</f>
        <v>0</v>
      </c>
      <c r="X30" s="4">
        <f t="shared" si="147"/>
        <v>0</v>
      </c>
      <c r="Y30" s="4">
        <f t="shared" si="147"/>
        <v>0</v>
      </c>
      <c r="Z30" s="4">
        <f t="shared" ref="Z30:AB30" si="148">Z8-Z25</f>
        <v>0</v>
      </c>
      <c r="AA30" s="4">
        <f t="shared" ref="AA30" si="149">AA8-AA25</f>
        <v>0</v>
      </c>
      <c r="AB30" s="4">
        <f t="shared" si="148"/>
        <v>0</v>
      </c>
      <c r="AC30" s="4">
        <f t="shared" ref="AC30:AE30" si="150">AC8-AC25</f>
        <v>0</v>
      </c>
      <c r="AD30" s="4">
        <f t="shared" si="150"/>
        <v>0</v>
      </c>
      <c r="AE30" s="4">
        <f t="shared" si="150"/>
        <v>0</v>
      </c>
      <c r="AF30" s="4">
        <f t="shared" ref="AF30:AG30" si="151">AF8-AF25</f>
        <v>0</v>
      </c>
      <c r="AG30" s="4">
        <f t="shared" si="151"/>
        <v>0</v>
      </c>
      <c r="AH30" s="4">
        <f t="shared" ref="AH30:AI30" si="152">AH8-AH25</f>
        <v>0</v>
      </c>
      <c r="AI30" s="4">
        <f t="shared" si="152"/>
        <v>0</v>
      </c>
      <c r="AJ30" s="4">
        <f t="shared" ref="AJ30:AK30" si="153">AJ8-AJ25</f>
        <v>0</v>
      </c>
      <c r="AK30" s="4">
        <f t="shared" si="153"/>
        <v>0</v>
      </c>
      <c r="AL30" s="4">
        <f t="shared" ref="AL30:AM30" si="154">AL8-AL25</f>
        <v>0</v>
      </c>
      <c r="AM30" s="4">
        <f t="shared" si="154"/>
        <v>0</v>
      </c>
      <c r="AN30" s="4">
        <f t="shared" ref="AN30:AO30" si="155">AN8-AN25</f>
        <v>0</v>
      </c>
      <c r="AO30" s="4">
        <f t="shared" si="155"/>
        <v>0</v>
      </c>
      <c r="AP30" s="4">
        <f t="shared" ref="AP30:AQ30" si="156">AP8-AP25</f>
        <v>0</v>
      </c>
      <c r="AQ30" s="4">
        <f t="shared" si="156"/>
        <v>0</v>
      </c>
      <c r="AR30" s="4">
        <f t="shared" ref="AR30:AS30" si="157">AR8-AR25</f>
        <v>0</v>
      </c>
      <c r="AS30" s="4">
        <f t="shared" si="157"/>
        <v>0</v>
      </c>
      <c r="AT30" s="4">
        <f t="shared" ref="AT30:AU30" si="158">AT8-AT25</f>
        <v>0</v>
      </c>
      <c r="AU30" s="4">
        <f t="shared" si="158"/>
        <v>0</v>
      </c>
      <c r="AV30" s="4">
        <f t="shared" ref="AV30:AW30" si="159">AV8-AV25</f>
        <v>0</v>
      </c>
      <c r="AW30" s="4">
        <f t="shared" si="159"/>
        <v>0</v>
      </c>
      <c r="AX30" s="4">
        <f t="shared" ref="AX30:AY30" si="160">AX8-AX25</f>
        <v>0</v>
      </c>
      <c r="AY30" s="4">
        <f t="shared" si="160"/>
        <v>0</v>
      </c>
      <c r="AZ30" s="4">
        <f t="shared" ref="AZ30:BA30" si="161">AZ8-AZ25</f>
        <v>0</v>
      </c>
      <c r="BA30" s="4">
        <f t="shared" si="161"/>
        <v>0</v>
      </c>
      <c r="BB30" s="4">
        <f t="shared" ref="BB30:BC30" si="162">BB8-BB25</f>
        <v>0</v>
      </c>
      <c r="BC30" s="4">
        <f t="shared" si="162"/>
        <v>0</v>
      </c>
      <c r="BD30" s="4">
        <f t="shared" ref="BD30:BE30" si="163">BD8-BD25</f>
        <v>0</v>
      </c>
      <c r="BE30" s="4">
        <f t="shared" si="163"/>
        <v>0</v>
      </c>
      <c r="BF30" s="4">
        <f t="shared" ref="BF30:BG30" si="164">BF8-BF25</f>
        <v>0</v>
      </c>
      <c r="BG30" s="4">
        <f t="shared" si="164"/>
        <v>0</v>
      </c>
      <c r="BH30" s="4">
        <f t="shared" ref="BH30:BI30" si="165">BH8-BH25</f>
        <v>0</v>
      </c>
      <c r="BI30" s="4">
        <f t="shared" si="165"/>
        <v>0</v>
      </c>
      <c r="BJ30" s="4">
        <f t="shared" ref="BJ30:BK30" si="166">BJ8-BJ25</f>
        <v>0</v>
      </c>
      <c r="BK30" s="4">
        <f t="shared" si="166"/>
        <v>0</v>
      </c>
      <c r="BL30" s="4">
        <f t="shared" ref="BL30:BM30" si="167">BL8-BL25</f>
        <v>0</v>
      </c>
      <c r="BM30" s="4">
        <f t="shared" si="167"/>
        <v>0</v>
      </c>
      <c r="BN30" s="4">
        <f t="shared" ref="BN30:BO30" si="168">BN8-BN25</f>
        <v>0</v>
      </c>
      <c r="BO30" s="4">
        <f t="shared" si="168"/>
        <v>0</v>
      </c>
      <c r="BP30" s="4">
        <f t="shared" ref="BP30:BQ30" si="169">BP8-BP25</f>
        <v>0</v>
      </c>
      <c r="BQ30" s="4">
        <f t="shared" si="169"/>
        <v>0</v>
      </c>
      <c r="BR30" s="4">
        <f t="shared" ref="BR30:BS30" si="170">BR8-BR25</f>
        <v>0</v>
      </c>
      <c r="BS30" s="4">
        <f t="shared" si="170"/>
        <v>0</v>
      </c>
      <c r="BT30" s="4">
        <f t="shared" ref="BT30" si="171">BT8-BT25</f>
        <v>0</v>
      </c>
    </row>
    <row r="31" spans="2:72" x14ac:dyDescent="0.35">
      <c r="B31" s="4">
        <f t="shared" ref="B31:M31" si="172">B9-B26</f>
        <v>0</v>
      </c>
      <c r="C31" s="4">
        <f t="shared" si="172"/>
        <v>0</v>
      </c>
      <c r="D31" s="4">
        <f t="shared" si="172"/>
        <v>0</v>
      </c>
      <c r="E31" s="4">
        <f t="shared" si="172"/>
        <v>0</v>
      </c>
      <c r="F31" s="4">
        <f t="shared" si="172"/>
        <v>0</v>
      </c>
      <c r="G31" s="4">
        <f t="shared" si="172"/>
        <v>0</v>
      </c>
      <c r="H31" s="4">
        <f t="shared" si="172"/>
        <v>0</v>
      </c>
      <c r="I31" s="4">
        <f t="shared" si="172"/>
        <v>0</v>
      </c>
      <c r="J31" s="4">
        <f t="shared" si="172"/>
        <v>0</v>
      </c>
      <c r="K31" s="4">
        <f t="shared" si="172"/>
        <v>0</v>
      </c>
      <c r="L31" s="4">
        <f t="shared" si="172"/>
        <v>0</v>
      </c>
      <c r="M31" s="4">
        <f t="shared" si="172"/>
        <v>0</v>
      </c>
      <c r="N31" s="4">
        <f t="shared" ref="N31" si="173">N9-N26</f>
        <v>0</v>
      </c>
      <c r="O31" s="4">
        <f t="shared" si="145"/>
        <v>0</v>
      </c>
      <c r="P31" s="4">
        <f t="shared" si="145"/>
        <v>0</v>
      </c>
      <c r="Q31" s="4">
        <f t="shared" si="145"/>
        <v>0</v>
      </c>
      <c r="R31" s="4">
        <f t="shared" si="145"/>
        <v>0</v>
      </c>
      <c r="S31" s="4">
        <f t="shared" si="145"/>
        <v>0</v>
      </c>
      <c r="T31" s="4">
        <f t="shared" si="145"/>
        <v>0</v>
      </c>
      <c r="U31" s="4">
        <f t="shared" ref="U31:V31" si="174">U9-U26</f>
        <v>0</v>
      </c>
      <c r="V31" s="4">
        <f t="shared" si="174"/>
        <v>0</v>
      </c>
      <c r="W31" s="4">
        <f t="shared" ref="W31:Y31" si="175">W9-W26</f>
        <v>0</v>
      </c>
      <c r="X31" s="4">
        <f t="shared" si="175"/>
        <v>0</v>
      </c>
      <c r="Y31" s="4">
        <f t="shared" si="175"/>
        <v>0</v>
      </c>
      <c r="Z31" s="4">
        <f t="shared" ref="Z31:AB31" si="176">Z9-Z26</f>
        <v>0</v>
      </c>
      <c r="AA31" s="4">
        <f t="shared" ref="AA31" si="177">AA9-AA26</f>
        <v>0</v>
      </c>
      <c r="AB31" s="4">
        <f t="shared" si="176"/>
        <v>0</v>
      </c>
      <c r="AC31" s="4">
        <f t="shared" ref="AC31:AE31" si="178">AC9-AC26</f>
        <v>0</v>
      </c>
      <c r="AD31" s="4">
        <f t="shared" si="178"/>
        <v>0</v>
      </c>
      <c r="AE31" s="4">
        <f t="shared" si="178"/>
        <v>0</v>
      </c>
      <c r="AF31" s="4">
        <f t="shared" ref="AF31:AG31" si="179">AF9-AF26</f>
        <v>0</v>
      </c>
      <c r="AG31" s="4">
        <f t="shared" si="179"/>
        <v>0</v>
      </c>
      <c r="AH31" s="4">
        <f t="shared" ref="AH31:AI31" si="180">AH9-AH26</f>
        <v>0</v>
      </c>
      <c r="AI31" s="4">
        <f t="shared" si="180"/>
        <v>0</v>
      </c>
      <c r="AJ31" s="4">
        <f t="shared" ref="AJ31:AK31" si="181">AJ9-AJ26</f>
        <v>0</v>
      </c>
      <c r="AK31" s="4">
        <f t="shared" si="181"/>
        <v>0</v>
      </c>
      <c r="AL31" s="4">
        <f t="shared" ref="AL31:AM31" si="182">AL9-AL26</f>
        <v>0</v>
      </c>
      <c r="AM31" s="4">
        <f t="shared" si="182"/>
        <v>0</v>
      </c>
      <c r="AN31" s="4">
        <f t="shared" ref="AN31:AO31" si="183">AN9-AN26</f>
        <v>0</v>
      </c>
      <c r="AO31" s="4">
        <f t="shared" si="183"/>
        <v>0</v>
      </c>
      <c r="AP31" s="4">
        <f t="shared" ref="AP31:AQ31" si="184">AP9-AP26</f>
        <v>0</v>
      </c>
      <c r="AQ31" s="4">
        <f t="shared" si="184"/>
        <v>0</v>
      </c>
      <c r="AR31" s="4">
        <f t="shared" ref="AR31:AS31" si="185">AR9-AR26</f>
        <v>0</v>
      </c>
      <c r="AS31" s="4">
        <f t="shared" si="185"/>
        <v>0</v>
      </c>
      <c r="AT31" s="4">
        <f t="shared" ref="AT31:AU31" si="186">AT9-AT26</f>
        <v>0</v>
      </c>
      <c r="AU31" s="4">
        <f t="shared" si="186"/>
        <v>0</v>
      </c>
      <c r="AV31" s="4">
        <f t="shared" ref="AV31:AW31" si="187">AV9-AV26</f>
        <v>0</v>
      </c>
      <c r="AW31" s="4">
        <f t="shared" si="187"/>
        <v>0</v>
      </c>
      <c r="AX31" s="4">
        <f t="shared" ref="AX31:AY31" si="188">AX9-AX26</f>
        <v>0</v>
      </c>
      <c r="AY31" s="4">
        <f t="shared" si="188"/>
        <v>0</v>
      </c>
      <c r="AZ31" s="4">
        <f t="shared" ref="AZ31:BA31" si="189">AZ9-AZ26</f>
        <v>0</v>
      </c>
      <c r="BA31" s="4">
        <f t="shared" si="189"/>
        <v>0</v>
      </c>
      <c r="BB31" s="4">
        <f t="shared" ref="BB31:BC31" si="190">BB9-BB26</f>
        <v>0</v>
      </c>
      <c r="BC31" s="4">
        <f t="shared" si="190"/>
        <v>0</v>
      </c>
      <c r="BD31" s="4">
        <f t="shared" ref="BD31:BE31" si="191">BD9-BD26</f>
        <v>0</v>
      </c>
      <c r="BE31" s="4">
        <f t="shared" si="191"/>
        <v>0</v>
      </c>
      <c r="BF31" s="4">
        <f t="shared" ref="BF31:BG31" si="192">BF9-BF26</f>
        <v>0</v>
      </c>
      <c r="BG31" s="4">
        <f t="shared" si="192"/>
        <v>0</v>
      </c>
      <c r="BH31" s="4">
        <f t="shared" ref="BH31:BI31" si="193">BH9-BH26</f>
        <v>0</v>
      </c>
      <c r="BI31" s="4">
        <f t="shared" si="193"/>
        <v>0</v>
      </c>
      <c r="BJ31" s="4">
        <f t="shared" ref="BJ31:BK31" si="194">BJ9-BJ26</f>
        <v>0</v>
      </c>
      <c r="BK31" s="4">
        <f t="shared" si="194"/>
        <v>0</v>
      </c>
      <c r="BL31" s="4">
        <f t="shared" ref="BL31:BM31" si="195">BL9-BL26</f>
        <v>0</v>
      </c>
      <c r="BM31" s="4">
        <f t="shared" si="195"/>
        <v>0</v>
      </c>
      <c r="BN31" s="4">
        <f t="shared" ref="BN31:BO31" si="196">BN9-BN26</f>
        <v>0</v>
      </c>
      <c r="BO31" s="4">
        <f t="shared" si="196"/>
        <v>0</v>
      </c>
      <c r="BP31" s="4">
        <f t="shared" ref="BP31:BQ31" si="197">BP9-BP26</f>
        <v>0</v>
      </c>
      <c r="BQ31" s="4">
        <f t="shared" si="197"/>
        <v>0</v>
      </c>
      <c r="BR31" s="4">
        <f t="shared" ref="BR31:BS31" si="198">BR9-BR26</f>
        <v>0</v>
      </c>
      <c r="BS31" s="4">
        <f t="shared" si="198"/>
        <v>0</v>
      </c>
      <c r="BT31" s="4">
        <f t="shared" ref="BT31" si="199">BT9-BT26</f>
        <v>0</v>
      </c>
    </row>
    <row r="32" spans="2:72" x14ac:dyDescent="0.35">
      <c r="B32" s="4">
        <f t="shared" ref="B32:M32" si="200">B10-B27</f>
        <v>0</v>
      </c>
      <c r="C32" s="4">
        <f t="shared" si="200"/>
        <v>0</v>
      </c>
      <c r="D32" s="4">
        <f t="shared" si="200"/>
        <v>0</v>
      </c>
      <c r="E32" s="4">
        <f t="shared" si="200"/>
        <v>0</v>
      </c>
      <c r="F32" s="4">
        <f t="shared" si="200"/>
        <v>0</v>
      </c>
      <c r="G32" s="4">
        <f t="shared" si="200"/>
        <v>0</v>
      </c>
      <c r="H32" s="4">
        <f t="shared" si="200"/>
        <v>0</v>
      </c>
      <c r="I32" s="4">
        <f t="shared" si="200"/>
        <v>0</v>
      </c>
      <c r="J32" s="4">
        <f t="shared" si="200"/>
        <v>0</v>
      </c>
      <c r="K32" s="4">
        <f t="shared" si="200"/>
        <v>0</v>
      </c>
      <c r="L32" s="4">
        <f t="shared" si="200"/>
        <v>0</v>
      </c>
      <c r="M32" s="4">
        <f t="shared" si="200"/>
        <v>0</v>
      </c>
      <c r="N32" s="4">
        <f t="shared" ref="N32" si="201">N10-N27</f>
        <v>0</v>
      </c>
      <c r="O32" s="4">
        <f t="shared" si="145"/>
        <v>0</v>
      </c>
      <c r="P32" s="4">
        <f t="shared" si="145"/>
        <v>0</v>
      </c>
      <c r="Q32" s="4">
        <f t="shared" si="145"/>
        <v>0</v>
      </c>
      <c r="R32" s="4">
        <f t="shared" si="145"/>
        <v>0</v>
      </c>
      <c r="S32" s="4">
        <f t="shared" si="145"/>
        <v>0</v>
      </c>
      <c r="T32" s="4">
        <f t="shared" si="145"/>
        <v>0</v>
      </c>
      <c r="U32" s="4">
        <f t="shared" ref="U32:V32" si="202">U10-U27</f>
        <v>0</v>
      </c>
      <c r="V32" s="4">
        <f t="shared" si="202"/>
        <v>0</v>
      </c>
      <c r="W32" s="4">
        <f t="shared" ref="W32:Y32" si="203">W10-W27</f>
        <v>0</v>
      </c>
      <c r="X32" s="4">
        <f t="shared" si="203"/>
        <v>0</v>
      </c>
      <c r="Y32" s="4">
        <f t="shared" si="203"/>
        <v>0</v>
      </c>
      <c r="Z32" s="4">
        <f t="shared" ref="Z32:AB32" si="204">Z10-Z27</f>
        <v>0</v>
      </c>
      <c r="AA32" s="4">
        <f t="shared" ref="AA32" si="205">AA10-AA27</f>
        <v>0</v>
      </c>
      <c r="AB32" s="4">
        <f t="shared" si="204"/>
        <v>0</v>
      </c>
      <c r="AC32" s="4">
        <f t="shared" ref="AC32:AE32" si="206">AC10-AC27</f>
        <v>0</v>
      </c>
      <c r="AD32" s="4">
        <f t="shared" si="206"/>
        <v>0</v>
      </c>
      <c r="AE32" s="4">
        <f t="shared" si="206"/>
        <v>0</v>
      </c>
      <c r="AF32" s="4">
        <f t="shared" ref="AF32:AG32" si="207">AF10-AF27</f>
        <v>0</v>
      </c>
      <c r="AG32" s="4">
        <f t="shared" si="207"/>
        <v>0</v>
      </c>
      <c r="AH32" s="4">
        <f t="shared" ref="AH32:AI32" si="208">AH10-AH27</f>
        <v>0</v>
      </c>
      <c r="AI32" s="4">
        <f t="shared" si="208"/>
        <v>0</v>
      </c>
      <c r="AJ32" s="4">
        <f t="shared" ref="AJ32:AK32" si="209">AJ10-AJ27</f>
        <v>0</v>
      </c>
      <c r="AK32" s="4">
        <f t="shared" si="209"/>
        <v>0</v>
      </c>
      <c r="AL32" s="4">
        <f t="shared" ref="AL32:AM32" si="210">AL10-AL27</f>
        <v>0</v>
      </c>
      <c r="AM32" s="4">
        <f t="shared" si="210"/>
        <v>0</v>
      </c>
      <c r="AN32" s="4">
        <f t="shared" ref="AN32:AO32" si="211">AN10-AN27</f>
        <v>0</v>
      </c>
      <c r="AO32" s="4">
        <f t="shared" si="211"/>
        <v>0</v>
      </c>
      <c r="AP32" s="4">
        <f t="shared" ref="AP32:AQ32" si="212">AP10-AP27</f>
        <v>0</v>
      </c>
      <c r="AQ32" s="4">
        <f t="shared" si="212"/>
        <v>0</v>
      </c>
      <c r="AR32" s="4">
        <f t="shared" ref="AR32:AS32" si="213">AR10-AR27</f>
        <v>0</v>
      </c>
      <c r="AS32" s="4">
        <f t="shared" si="213"/>
        <v>0</v>
      </c>
      <c r="AT32" s="4">
        <f t="shared" ref="AT32:AU32" si="214">AT10-AT27</f>
        <v>0</v>
      </c>
      <c r="AU32" s="4">
        <f t="shared" si="214"/>
        <v>0</v>
      </c>
      <c r="AV32" s="4">
        <f t="shared" ref="AV32:AW32" si="215">AV10-AV27</f>
        <v>0</v>
      </c>
      <c r="AW32" s="4">
        <f t="shared" si="215"/>
        <v>0</v>
      </c>
      <c r="AX32" s="4">
        <f t="shared" ref="AX32:AY32" si="216">AX10-AX27</f>
        <v>0</v>
      </c>
      <c r="AY32" s="4">
        <f t="shared" si="216"/>
        <v>0</v>
      </c>
      <c r="AZ32" s="4">
        <f t="shared" ref="AZ32:BA32" si="217">AZ10-AZ27</f>
        <v>0</v>
      </c>
      <c r="BA32" s="4">
        <f t="shared" si="217"/>
        <v>0</v>
      </c>
      <c r="BB32" s="4">
        <f t="shared" ref="BB32:BC32" si="218">BB10-BB27</f>
        <v>0</v>
      </c>
      <c r="BC32" s="4">
        <f t="shared" si="218"/>
        <v>0</v>
      </c>
      <c r="BD32" s="4">
        <f t="shared" ref="BD32:BE32" si="219">BD10-BD27</f>
        <v>0</v>
      </c>
      <c r="BE32" s="4">
        <f t="shared" si="219"/>
        <v>0</v>
      </c>
      <c r="BF32" s="4">
        <f t="shared" ref="BF32:BG32" si="220">BF10-BF27</f>
        <v>0</v>
      </c>
      <c r="BG32" s="4">
        <f t="shared" si="220"/>
        <v>0</v>
      </c>
      <c r="BH32" s="4">
        <f t="shared" ref="BH32:BI32" si="221">BH10-BH27</f>
        <v>0</v>
      </c>
      <c r="BI32" s="4">
        <f t="shared" si="221"/>
        <v>0</v>
      </c>
      <c r="BJ32" s="4">
        <f t="shared" ref="BJ32:BK32" si="222">BJ10-BJ27</f>
        <v>0</v>
      </c>
      <c r="BK32" s="4">
        <f t="shared" si="222"/>
        <v>0</v>
      </c>
      <c r="BL32" s="4">
        <f t="shared" ref="BL32:BM32" si="223">BL10-BL27</f>
        <v>0</v>
      </c>
      <c r="BM32" s="4">
        <f t="shared" si="223"/>
        <v>0</v>
      </c>
      <c r="BN32" s="4">
        <f t="shared" ref="BN32:BO32" si="224">BN10-BN27</f>
        <v>0</v>
      </c>
      <c r="BO32" s="4">
        <f t="shared" si="224"/>
        <v>0</v>
      </c>
      <c r="BP32" s="4">
        <f t="shared" ref="BP32:BQ32" si="225">BP10-BP27</f>
        <v>0</v>
      </c>
      <c r="BQ32" s="4">
        <f t="shared" si="225"/>
        <v>0</v>
      </c>
      <c r="BR32" s="4">
        <f t="shared" ref="BR32:BS32" si="226">BR10-BR27</f>
        <v>0</v>
      </c>
      <c r="BS32" s="4">
        <f t="shared" si="226"/>
        <v>0</v>
      </c>
      <c r="BT32" s="4">
        <f t="shared" ref="BT32" si="227">BT10-BT27</f>
        <v>0</v>
      </c>
    </row>
    <row r="35" spans="1:72" x14ac:dyDescent="0.35">
      <c r="A35" t="s">
        <v>4</v>
      </c>
      <c r="B35" s="3">
        <v>1005</v>
      </c>
      <c r="C35" s="3">
        <v>1005</v>
      </c>
      <c r="D35" s="3">
        <v>1005</v>
      </c>
      <c r="E35" s="3">
        <v>1005</v>
      </c>
      <c r="F35" s="3">
        <v>1005</v>
      </c>
      <c r="G35" s="3">
        <v>1005</v>
      </c>
      <c r="H35" s="3">
        <v>1005</v>
      </c>
      <c r="I35" s="3">
        <v>1005</v>
      </c>
      <c r="J35" s="3">
        <v>1005</v>
      </c>
      <c r="K35" s="3">
        <v>1247.67</v>
      </c>
      <c r="L35" s="3">
        <v>1090</v>
      </c>
      <c r="M35" s="3">
        <v>1223.22</v>
      </c>
      <c r="N35" s="3">
        <v>1090</v>
      </c>
      <c r="O35" s="3">
        <v>1114.22</v>
      </c>
      <c r="P35" s="3">
        <v>1090</v>
      </c>
      <c r="Q35" s="3">
        <v>1090</v>
      </c>
      <c r="R35" s="3">
        <v>1090</v>
      </c>
      <c r="S35" s="3">
        <v>1090</v>
      </c>
      <c r="T35" s="3">
        <v>1090</v>
      </c>
      <c r="U35" s="3">
        <v>1090</v>
      </c>
      <c r="V35" s="3">
        <v>1090</v>
      </c>
      <c r="W35" s="3">
        <v>1090</v>
      </c>
      <c r="X35" s="3">
        <v>1417</v>
      </c>
      <c r="Y35" s="3">
        <v>4914.28</v>
      </c>
      <c r="Z35" s="3">
        <v>1090</v>
      </c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</row>
    <row r="36" spans="1:72" x14ac:dyDescent="0.35">
      <c r="A36" t="s">
        <v>5</v>
      </c>
      <c r="B36" s="3">
        <v>248710.63000000015</v>
      </c>
      <c r="C36" s="3">
        <v>236890.36</v>
      </c>
      <c r="D36" s="3">
        <v>264399.31000000006</v>
      </c>
      <c r="E36" s="3">
        <v>267680.44999999995</v>
      </c>
      <c r="F36" s="3">
        <v>256104.14999999988</v>
      </c>
      <c r="G36" s="3">
        <v>251217.48999999996</v>
      </c>
      <c r="H36" s="3">
        <v>259670.97999999984</v>
      </c>
      <c r="I36" s="3">
        <v>251121.46999999988</v>
      </c>
      <c r="J36" s="3">
        <v>264659.95999999996</v>
      </c>
      <c r="K36" s="3">
        <v>356434.77000000019</v>
      </c>
      <c r="L36" s="3">
        <v>276510.88000000012</v>
      </c>
      <c r="M36" s="3">
        <v>305918.65999999997</v>
      </c>
      <c r="N36" s="3">
        <v>239677.86000000002</v>
      </c>
      <c r="O36" s="3">
        <v>281487.35000000009</v>
      </c>
      <c r="P36" s="3">
        <v>266986.91000000015</v>
      </c>
      <c r="Q36" s="3">
        <v>324554.66000000009</v>
      </c>
      <c r="R36" s="3">
        <v>292101.74000000011</v>
      </c>
      <c r="S36" s="3">
        <v>291705.18000000011</v>
      </c>
      <c r="T36" s="3">
        <v>295211.76000000007</v>
      </c>
      <c r="U36" s="3">
        <v>357375.33000000007</v>
      </c>
      <c r="V36" s="3">
        <v>331512.23999999987</v>
      </c>
      <c r="W36" s="3">
        <v>432642.40000000026</v>
      </c>
      <c r="X36" s="3">
        <v>331667.50999999995</v>
      </c>
      <c r="Y36" s="3">
        <v>355632.57000000018</v>
      </c>
      <c r="Z36" s="3">
        <v>331512.23999999987</v>
      </c>
      <c r="AA36" s="3">
        <v>255886.93000000005</v>
      </c>
      <c r="AB36" s="3">
        <v>424692.72000000009</v>
      </c>
      <c r="AC36" s="3">
        <v>289762.17999999993</v>
      </c>
      <c r="AD36" s="3">
        <v>272664.70999999996</v>
      </c>
      <c r="AE36" s="3">
        <v>272203.52000000002</v>
      </c>
      <c r="AF36" s="3">
        <v>482766.46000000008</v>
      </c>
      <c r="AG36" s="3">
        <v>212157.80000000005</v>
      </c>
      <c r="AH36" s="3">
        <v>457449.36</v>
      </c>
      <c r="AI36" s="3">
        <v>180012.42999999991</v>
      </c>
      <c r="AJ36" s="3">
        <v>209331.46000000005</v>
      </c>
      <c r="AK36" s="3">
        <v>190742.41000000006</v>
      </c>
      <c r="AL36" s="3">
        <v>240751.84999999998</v>
      </c>
      <c r="AM36" s="3">
        <v>216158.36999999991</v>
      </c>
      <c r="AN36" s="3">
        <v>186319.30000000008</v>
      </c>
      <c r="AO36" s="3">
        <v>146730.43</v>
      </c>
      <c r="AP36" s="3">
        <v>166130.19999999998</v>
      </c>
      <c r="AQ36" s="3">
        <v>175597.38</v>
      </c>
      <c r="AR36" s="3">
        <v>145855.32999999999</v>
      </c>
      <c r="AS36" s="3">
        <v>155216.96999999997</v>
      </c>
      <c r="AT36" s="3">
        <v>181283.53999999995</v>
      </c>
      <c r="AU36" s="3">
        <v>162349.72000000003</v>
      </c>
      <c r="AV36" s="3">
        <v>278368.58</v>
      </c>
      <c r="AW36" s="3">
        <v>126429.56999999999</v>
      </c>
      <c r="AX36" s="3">
        <v>136844.39000000001</v>
      </c>
      <c r="AY36" s="3">
        <v>145016.29999999999</v>
      </c>
      <c r="AZ36" s="3">
        <v>146652.16000000009</v>
      </c>
      <c r="BA36" s="3">
        <v>117572.74999999997</v>
      </c>
      <c r="BB36" s="3">
        <v>140337.53000000003</v>
      </c>
      <c r="BC36" s="3">
        <v>146836.09000000003</v>
      </c>
      <c r="BD36" s="3">
        <v>136350.03000000003</v>
      </c>
      <c r="BE36" s="3">
        <v>102506.5</v>
      </c>
      <c r="BF36" s="3">
        <v>101991.84</v>
      </c>
      <c r="BG36" s="3">
        <v>110247.39</v>
      </c>
      <c r="BH36" s="3">
        <v>98334.540000000008</v>
      </c>
      <c r="BI36" s="3">
        <v>102720.98</v>
      </c>
      <c r="BJ36" s="3">
        <v>109905.88</v>
      </c>
      <c r="BK36" s="3">
        <v>119323.91000000003</v>
      </c>
      <c r="BL36" s="3">
        <v>107159.95</v>
      </c>
      <c r="BM36" s="3">
        <v>152388.88</v>
      </c>
      <c r="BN36" s="3">
        <v>100371</v>
      </c>
      <c r="BO36" s="3">
        <v>118633.5</v>
      </c>
      <c r="BP36" s="3">
        <v>95767.5</v>
      </c>
      <c r="BQ36" s="3">
        <v>110945.88</v>
      </c>
      <c r="BR36" s="3">
        <v>97852.74</v>
      </c>
      <c r="BS36" s="3">
        <v>97327.5</v>
      </c>
      <c r="BT36" s="3">
        <v>95983.5</v>
      </c>
    </row>
    <row r="37" spans="1:72" x14ac:dyDescent="0.35">
      <c r="A37" t="s">
        <v>6</v>
      </c>
      <c r="B37" s="3">
        <v>30904.309999999998</v>
      </c>
      <c r="C37" s="3">
        <v>28454.46</v>
      </c>
      <c r="D37" s="3">
        <v>27917.15</v>
      </c>
      <c r="E37" s="3">
        <v>32638.859999999997</v>
      </c>
      <c r="F37" s="3">
        <v>26826.97</v>
      </c>
      <c r="G37" s="3">
        <v>28564.710000000003</v>
      </c>
      <c r="H37" s="3">
        <v>38569.08</v>
      </c>
      <c r="I37" s="3">
        <v>37803.24</v>
      </c>
      <c r="J37" s="3">
        <v>54844.880000000005</v>
      </c>
      <c r="K37" s="3">
        <v>40607.78</v>
      </c>
      <c r="L37" s="3">
        <v>36405.35</v>
      </c>
      <c r="M37" s="3">
        <v>43810.69</v>
      </c>
      <c r="N37" s="3">
        <v>30370.350000000002</v>
      </c>
      <c r="O37" s="3">
        <v>44347.850000000006</v>
      </c>
      <c r="P37" s="3">
        <v>36610.12999999999</v>
      </c>
      <c r="Q37" s="3">
        <v>31881.18</v>
      </c>
      <c r="R37" s="3">
        <v>32230.970000000005</v>
      </c>
      <c r="S37" s="3">
        <v>35318.629999999997</v>
      </c>
      <c r="T37" s="3">
        <v>37863.770000000004</v>
      </c>
      <c r="U37" s="3">
        <v>46077.06</v>
      </c>
      <c r="V37" s="3">
        <v>30739.980000000003</v>
      </c>
      <c r="W37" s="3">
        <v>28874.440000000002</v>
      </c>
      <c r="X37" s="3">
        <v>30487.270000000004</v>
      </c>
      <c r="Y37" s="3">
        <v>29430.160000000003</v>
      </c>
      <c r="Z37" s="3">
        <v>30739.980000000003</v>
      </c>
      <c r="AA37" s="3">
        <v>26274.960000000003</v>
      </c>
      <c r="AB37" s="3">
        <v>55263.06</v>
      </c>
      <c r="AC37" s="3">
        <v>37346.57</v>
      </c>
      <c r="AD37" s="3">
        <v>38661.709999999992</v>
      </c>
      <c r="AE37" s="3">
        <v>39287.919999999998</v>
      </c>
      <c r="AF37" s="3">
        <v>59076.320000000007</v>
      </c>
      <c r="AG37" s="3">
        <v>33239.21</v>
      </c>
      <c r="AH37" s="3">
        <v>34193.879999999997</v>
      </c>
      <c r="AI37" s="3">
        <v>33305.700000000004</v>
      </c>
      <c r="AJ37" s="3">
        <v>34286.03</v>
      </c>
      <c r="AK37" s="3">
        <v>44138.609999999993</v>
      </c>
      <c r="AL37" s="3">
        <v>53682.060000000005</v>
      </c>
      <c r="AM37" s="3">
        <v>52109.05999999999</v>
      </c>
      <c r="AN37" s="3">
        <v>55215.589999999989</v>
      </c>
      <c r="AO37" s="3">
        <v>56387.479999999996</v>
      </c>
      <c r="AP37" s="3">
        <v>54129.35</v>
      </c>
      <c r="AQ37" s="3">
        <v>58029.619999999995</v>
      </c>
      <c r="AR37" s="3">
        <v>62047.029999999992</v>
      </c>
      <c r="AS37" s="3">
        <v>66922.100000000006</v>
      </c>
      <c r="AT37" s="3">
        <v>92907.25</v>
      </c>
      <c r="AU37" s="3">
        <v>59341.37</v>
      </c>
      <c r="AV37" s="3">
        <v>63070.660000000011</v>
      </c>
      <c r="AW37" s="3">
        <v>58618.000000000007</v>
      </c>
      <c r="AX37" s="3">
        <v>51230.69</v>
      </c>
      <c r="AY37" s="3">
        <v>60167.729999999996</v>
      </c>
      <c r="AZ37" s="3">
        <v>60447.450000000012</v>
      </c>
      <c r="BA37" s="3">
        <v>55798.959999999992</v>
      </c>
      <c r="BB37" s="3">
        <v>58468.02</v>
      </c>
      <c r="BC37" s="3">
        <v>63987.91</v>
      </c>
      <c r="BD37" s="3">
        <v>61875.279999999984</v>
      </c>
      <c r="BE37" s="3">
        <v>74366.3</v>
      </c>
      <c r="BF37" s="3">
        <v>94236.05</v>
      </c>
      <c r="BG37" s="3">
        <v>84307.68</v>
      </c>
      <c r="BH37" s="3">
        <v>69838.760000000009</v>
      </c>
      <c r="BI37" s="3">
        <v>113530.20000000001</v>
      </c>
      <c r="BJ37" s="3">
        <v>76653.290000000023</v>
      </c>
      <c r="BK37" s="3">
        <v>84139.470000000016</v>
      </c>
      <c r="BL37" s="3">
        <v>72889.350000000006</v>
      </c>
      <c r="BM37" s="3">
        <v>216640.54999999993</v>
      </c>
      <c r="BN37" s="3">
        <v>72434.44</v>
      </c>
      <c r="BO37" s="3">
        <v>68239.600000000006</v>
      </c>
      <c r="BP37" s="3">
        <v>77761.119999999995</v>
      </c>
      <c r="BQ37" s="3">
        <v>83632.959999999977</v>
      </c>
      <c r="BR37" s="3">
        <v>71032.19</v>
      </c>
      <c r="BS37" s="3">
        <v>107035.66999999998</v>
      </c>
      <c r="BT37" s="3">
        <v>68655.329999999987</v>
      </c>
    </row>
    <row r="38" spans="1:72" x14ac:dyDescent="0.35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</row>
    <row r="39" spans="1:72" x14ac:dyDescent="0.35">
      <c r="A39" t="s">
        <v>4</v>
      </c>
      <c r="B39" s="3">
        <v>80.400000000000006</v>
      </c>
      <c r="C39" s="3">
        <v>80.400000000000006</v>
      </c>
      <c r="D39" s="3">
        <v>113.9</v>
      </c>
      <c r="E39" s="3">
        <v>80.400000000000006</v>
      </c>
      <c r="F39" s="3">
        <v>80.400000000000006</v>
      </c>
      <c r="G39" s="3">
        <v>80.400000000000006</v>
      </c>
      <c r="H39" s="3">
        <v>80.400000000000006</v>
      </c>
      <c r="I39" s="3">
        <v>80.400000000000006</v>
      </c>
      <c r="J39" s="3">
        <v>80.400000000000006</v>
      </c>
      <c r="K39" s="3">
        <v>176.11</v>
      </c>
      <c r="L39" s="3">
        <v>87.2</v>
      </c>
      <c r="M39" s="3">
        <v>454.4</v>
      </c>
      <c r="N39" s="3">
        <v>632.20000000000005</v>
      </c>
      <c r="O39" s="3">
        <v>178.26999999999998</v>
      </c>
      <c r="P39" s="3">
        <v>87.2</v>
      </c>
      <c r="Q39" s="3">
        <v>123.53</v>
      </c>
      <c r="R39" s="3">
        <v>87.2</v>
      </c>
      <c r="S39" s="3">
        <v>1090</v>
      </c>
      <c r="T39" s="3">
        <v>87.2</v>
      </c>
      <c r="U39" s="3">
        <v>87.2</v>
      </c>
      <c r="V39" s="3">
        <v>87.2</v>
      </c>
      <c r="W39" s="3">
        <v>87.2</v>
      </c>
      <c r="X39" s="3">
        <v>929.77</v>
      </c>
      <c r="Y39" s="3">
        <v>4914.2800000000007</v>
      </c>
      <c r="Z39" s="3">
        <v>87.2</v>
      </c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</row>
    <row r="40" spans="1:72" x14ac:dyDescent="0.35">
      <c r="A40" t="s">
        <v>5</v>
      </c>
      <c r="B40" s="3">
        <v>68104.419999999984</v>
      </c>
      <c r="C40" s="3">
        <v>59822.27999999997</v>
      </c>
      <c r="D40" s="3">
        <v>62126.40999999996</v>
      </c>
      <c r="E40" s="3">
        <v>62219.179999999986</v>
      </c>
      <c r="F40" s="3">
        <v>68081.929999999993</v>
      </c>
      <c r="G40" s="3">
        <v>51689.659999999974</v>
      </c>
      <c r="H40" s="3">
        <v>58987.309999999969</v>
      </c>
      <c r="I40" s="3">
        <v>54969.689999999973</v>
      </c>
      <c r="J40" s="3">
        <v>60827.799999999959</v>
      </c>
      <c r="K40" s="3">
        <v>128831.37999999995</v>
      </c>
      <c r="L40" s="3">
        <v>80334.039999999964</v>
      </c>
      <c r="M40" s="3">
        <v>124592.86999999991</v>
      </c>
      <c r="N40" s="3">
        <v>157808.04000000007</v>
      </c>
      <c r="O40" s="3">
        <v>80440.720000000016</v>
      </c>
      <c r="P40" s="3">
        <v>59220.879999999983</v>
      </c>
      <c r="Q40" s="3">
        <v>80030.61</v>
      </c>
      <c r="R40" s="3">
        <v>61422.099999999991</v>
      </c>
      <c r="S40" s="3">
        <v>69085.290000000023</v>
      </c>
      <c r="T40" s="3">
        <v>85015.499999999985</v>
      </c>
      <c r="U40" s="3">
        <v>132934.62999999995</v>
      </c>
      <c r="V40" s="3">
        <v>91219.73</v>
      </c>
      <c r="W40" s="3">
        <v>216111.17999999993</v>
      </c>
      <c r="X40" s="3">
        <v>89911.269999999975</v>
      </c>
      <c r="Y40" s="3">
        <v>103912.05999999992</v>
      </c>
      <c r="Z40" s="3">
        <v>91219.73</v>
      </c>
      <c r="AA40" s="3">
        <v>174410.97000000006</v>
      </c>
      <c r="AB40" s="3">
        <v>211582.16</v>
      </c>
      <c r="AC40" s="3">
        <v>85888.72</v>
      </c>
      <c r="AD40" s="3">
        <v>70420.129999999961</v>
      </c>
      <c r="AE40" s="3">
        <v>60790.37999999999</v>
      </c>
      <c r="AF40" s="3">
        <v>318689.32999999996</v>
      </c>
      <c r="AG40" s="3">
        <v>48044.69</v>
      </c>
      <c r="AH40" s="3">
        <v>319763.93000000017</v>
      </c>
      <c r="AI40" s="3">
        <v>67157.999999999971</v>
      </c>
      <c r="AJ40" s="3">
        <v>91785.189999999973</v>
      </c>
      <c r="AK40" s="3">
        <v>42976.04</v>
      </c>
      <c r="AL40" s="3">
        <v>103741.69999999997</v>
      </c>
      <c r="AM40" s="3">
        <v>131047.16999999997</v>
      </c>
      <c r="AN40" s="3">
        <v>61586.61</v>
      </c>
      <c r="AO40" s="3">
        <v>35475.089999999997</v>
      </c>
      <c r="AP40" s="3">
        <v>54497.229999999996</v>
      </c>
      <c r="AQ40" s="3">
        <v>44907.54</v>
      </c>
      <c r="AR40" s="3">
        <v>35939.360000000001</v>
      </c>
      <c r="AS40" s="3">
        <v>41022.629999999997</v>
      </c>
      <c r="AT40" s="3">
        <v>62958.550000000017</v>
      </c>
      <c r="AU40" s="3">
        <v>53122.930000000008</v>
      </c>
      <c r="AV40" s="3">
        <v>163082.83000000002</v>
      </c>
      <c r="AW40" s="3">
        <v>28216.880000000005</v>
      </c>
      <c r="AX40" s="3">
        <v>51892.609999999986</v>
      </c>
      <c r="AY40" s="3">
        <v>83239.249999999956</v>
      </c>
      <c r="AZ40" s="3">
        <v>55919.880000000012</v>
      </c>
      <c r="BA40" s="3">
        <v>32688.87</v>
      </c>
      <c r="BB40" s="3">
        <v>38282.359999999993</v>
      </c>
      <c r="BC40" s="3">
        <v>35622.589999999997</v>
      </c>
      <c r="BD40" s="3">
        <v>42683.57</v>
      </c>
      <c r="BE40" s="3">
        <v>29803.810000000005</v>
      </c>
      <c r="BF40" s="3">
        <v>27661.260000000002</v>
      </c>
      <c r="BG40" s="3">
        <v>37575.429999999993</v>
      </c>
      <c r="BH40" s="3">
        <v>28386.320000000003</v>
      </c>
      <c r="BI40" s="3">
        <v>23714.000000000004</v>
      </c>
      <c r="BJ40" s="3">
        <v>28827.66</v>
      </c>
      <c r="BK40" s="3">
        <v>67044.75999999998</v>
      </c>
      <c r="BL40" s="3">
        <v>78411.289999999994</v>
      </c>
      <c r="BM40" s="3">
        <v>47344.960000000006</v>
      </c>
      <c r="BN40" s="3">
        <v>25305.72</v>
      </c>
      <c r="BO40" s="4">
        <v>30327.910000000003</v>
      </c>
      <c r="BP40" s="4">
        <v>24435.48</v>
      </c>
      <c r="BQ40" s="4">
        <v>48213.68</v>
      </c>
      <c r="BR40" s="4">
        <v>27237.149999999998</v>
      </c>
      <c r="BS40" s="4">
        <v>24790.190000000002</v>
      </c>
      <c r="BT40" s="4">
        <v>24473.66</v>
      </c>
    </row>
    <row r="41" spans="1:72" x14ac:dyDescent="0.35">
      <c r="A41" t="s">
        <v>6</v>
      </c>
      <c r="B41" s="3">
        <v>8002.9600000000009</v>
      </c>
      <c r="C41" s="3">
        <v>5312.9000000000005</v>
      </c>
      <c r="D41" s="3">
        <v>6285</v>
      </c>
      <c r="E41" s="3">
        <v>6456.59</v>
      </c>
      <c r="F41" s="3">
        <v>4947.9400000000005</v>
      </c>
      <c r="G41" s="3">
        <v>5690.75</v>
      </c>
      <c r="H41" s="3">
        <v>11227.530000000002</v>
      </c>
      <c r="I41" s="3">
        <v>8178.91</v>
      </c>
      <c r="J41" s="3">
        <v>29108.119999999992</v>
      </c>
      <c r="K41" s="3">
        <v>12884.679999999998</v>
      </c>
      <c r="L41" s="3">
        <v>7683.11</v>
      </c>
      <c r="M41" s="3">
        <v>18305.359999999997</v>
      </c>
      <c r="N41" s="3">
        <v>21830.67</v>
      </c>
      <c r="O41" s="3">
        <v>14350.65</v>
      </c>
      <c r="P41" s="3">
        <v>10890.34</v>
      </c>
      <c r="Q41" s="3">
        <v>7339.8000000000011</v>
      </c>
      <c r="R41" s="3">
        <v>6349.0000000000009</v>
      </c>
      <c r="S41" s="3">
        <v>6681.0100000000011</v>
      </c>
      <c r="T41" s="3">
        <v>14286.150000000001</v>
      </c>
      <c r="U41" s="3">
        <v>21791.109999999993</v>
      </c>
      <c r="V41" s="3">
        <v>6191.45</v>
      </c>
      <c r="W41" s="3">
        <v>5315.18</v>
      </c>
      <c r="X41" s="3">
        <v>8663.9500000000007</v>
      </c>
      <c r="Y41" s="3">
        <v>12026.36</v>
      </c>
      <c r="Z41" s="3">
        <v>6191.45</v>
      </c>
      <c r="AA41" s="3">
        <v>17187.36</v>
      </c>
      <c r="AB41" s="3">
        <v>24813.549999999996</v>
      </c>
      <c r="AC41" s="3">
        <v>7772.81</v>
      </c>
      <c r="AD41" s="3">
        <v>8907.14</v>
      </c>
      <c r="AE41" s="3">
        <v>7919.4600000000009</v>
      </c>
      <c r="AF41" s="3">
        <v>33353.35</v>
      </c>
      <c r="AG41" s="3">
        <v>6593.33</v>
      </c>
      <c r="AH41" s="3">
        <v>9794.1699999999983</v>
      </c>
      <c r="AI41" s="3">
        <v>7371.43</v>
      </c>
      <c r="AJ41" s="3">
        <v>9460.159999999998</v>
      </c>
      <c r="AK41" s="3">
        <v>9075.8999999999978</v>
      </c>
      <c r="AL41" s="3">
        <v>14583.769999999995</v>
      </c>
      <c r="AM41" s="3">
        <v>24354.999999999989</v>
      </c>
      <c r="AN41" s="3">
        <v>13004.199999999999</v>
      </c>
      <c r="AO41" s="3">
        <v>13441.850000000004</v>
      </c>
      <c r="AP41" s="3">
        <v>18092.840000000004</v>
      </c>
      <c r="AQ41" s="3">
        <v>12770.180000000002</v>
      </c>
      <c r="AR41" s="3">
        <v>14721.500000000002</v>
      </c>
      <c r="AS41" s="3">
        <v>18433.800000000003</v>
      </c>
      <c r="AT41" s="3">
        <v>51481.4</v>
      </c>
      <c r="AU41" s="3">
        <v>19286.690000000002</v>
      </c>
      <c r="AV41" s="3">
        <v>27299.68</v>
      </c>
      <c r="AW41" s="3">
        <v>12699.76</v>
      </c>
      <c r="AX41" s="3">
        <v>11430.530000000002</v>
      </c>
      <c r="AY41" s="3">
        <v>30925.610000000004</v>
      </c>
      <c r="AZ41" s="3">
        <v>19362.539999999997</v>
      </c>
      <c r="BA41" s="3">
        <v>12232.189999999999</v>
      </c>
      <c r="BB41" s="3">
        <v>14765.269999999997</v>
      </c>
      <c r="BC41" s="3">
        <v>13460.01</v>
      </c>
      <c r="BD41" s="3">
        <v>19439.149999999994</v>
      </c>
      <c r="BE41" s="3">
        <v>16262.220000000005</v>
      </c>
      <c r="BF41" s="3">
        <v>33556.26</v>
      </c>
      <c r="BG41" s="3">
        <v>30911.42</v>
      </c>
      <c r="BH41" s="3">
        <v>16937.29</v>
      </c>
      <c r="BI41" s="3">
        <v>30659.47</v>
      </c>
      <c r="BJ41" s="3">
        <v>18767.34</v>
      </c>
      <c r="BK41" s="3">
        <v>34227.699999999997</v>
      </c>
      <c r="BL41" s="3">
        <v>51694.26999999999</v>
      </c>
      <c r="BM41" s="3">
        <v>75829.960000000021</v>
      </c>
      <c r="BN41" s="3">
        <v>26475.650000000012</v>
      </c>
      <c r="BO41" s="4">
        <v>22091.370000000003</v>
      </c>
      <c r="BP41" s="4">
        <v>25761.78000000001</v>
      </c>
      <c r="BQ41" s="4">
        <v>36687.420000000006</v>
      </c>
      <c r="BR41" s="4">
        <v>26440.930000000004</v>
      </c>
      <c r="BS41" s="4">
        <v>51462.43</v>
      </c>
      <c r="BT41" s="4">
        <v>26801.010000000009</v>
      </c>
    </row>
    <row r="43" spans="1:72" x14ac:dyDescent="0.35">
      <c r="B43" s="3">
        <v>1005</v>
      </c>
      <c r="C43" s="3">
        <v>1005</v>
      </c>
      <c r="D43" s="3">
        <v>1005</v>
      </c>
      <c r="E43" s="3">
        <v>1005</v>
      </c>
      <c r="F43" s="3">
        <v>1005</v>
      </c>
      <c r="G43" s="3">
        <v>1005</v>
      </c>
      <c r="H43" s="3">
        <v>1005</v>
      </c>
      <c r="I43" s="3">
        <v>1005</v>
      </c>
      <c r="J43" s="3">
        <v>1005</v>
      </c>
      <c r="K43" s="3">
        <v>1247.67</v>
      </c>
      <c r="L43" s="3">
        <v>1090</v>
      </c>
      <c r="M43" s="3">
        <v>1223.22</v>
      </c>
      <c r="N43" s="3">
        <v>1090</v>
      </c>
      <c r="O43" s="3">
        <v>1114.22</v>
      </c>
      <c r="P43" s="3">
        <v>1090</v>
      </c>
      <c r="Q43" s="3">
        <v>1090</v>
      </c>
      <c r="R43" s="3">
        <v>1090</v>
      </c>
      <c r="S43" s="3">
        <v>1090</v>
      </c>
      <c r="T43" s="3">
        <v>1090</v>
      </c>
      <c r="U43" s="3">
        <v>1090</v>
      </c>
      <c r="V43" s="3">
        <v>1090</v>
      </c>
      <c r="W43" s="3">
        <v>1090</v>
      </c>
      <c r="X43" s="3">
        <v>1417</v>
      </c>
      <c r="Y43" s="3">
        <v>4914.28</v>
      </c>
      <c r="Z43" s="3">
        <v>1090</v>
      </c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</row>
    <row r="44" spans="1:72" x14ac:dyDescent="0.35">
      <c r="B44" s="3">
        <v>248710.63000000012</v>
      </c>
      <c r="C44" s="3">
        <v>236890.36</v>
      </c>
      <c r="D44" s="3">
        <v>264399.31000000006</v>
      </c>
      <c r="E44" s="3">
        <v>267680.44999999995</v>
      </c>
      <c r="F44" s="3">
        <v>256104.14999999988</v>
      </c>
      <c r="G44" s="3">
        <v>251217.48999999996</v>
      </c>
      <c r="H44" s="3">
        <v>259670.97999999984</v>
      </c>
      <c r="I44" s="3">
        <v>251121.46999999988</v>
      </c>
      <c r="J44" s="3">
        <v>264659.95999999996</v>
      </c>
      <c r="K44" s="3">
        <v>356434.77000000019</v>
      </c>
      <c r="L44" s="3">
        <v>276510.88000000012</v>
      </c>
      <c r="M44" s="3">
        <v>305918.65999999997</v>
      </c>
      <c r="N44" s="3">
        <v>239677.86</v>
      </c>
      <c r="O44" s="3">
        <v>281487.35000000009</v>
      </c>
      <c r="P44" s="3">
        <v>266986.91000000015</v>
      </c>
      <c r="Q44" s="3">
        <v>324554.66000000009</v>
      </c>
      <c r="R44" s="3">
        <v>292101.74000000011</v>
      </c>
      <c r="S44" s="3">
        <v>291705.18000000011</v>
      </c>
      <c r="T44" s="3">
        <v>295211.76000000007</v>
      </c>
      <c r="U44" s="3">
        <v>357375.33000000007</v>
      </c>
      <c r="V44" s="3">
        <v>331512.24</v>
      </c>
      <c r="W44" s="3">
        <v>432642.4</v>
      </c>
      <c r="X44" s="3">
        <v>331667.51</v>
      </c>
      <c r="Y44" s="3">
        <v>355632.57</v>
      </c>
      <c r="Z44" s="3">
        <v>331512.24</v>
      </c>
      <c r="AA44" s="3">
        <v>255886.93</v>
      </c>
      <c r="AB44" s="3">
        <v>424692.72</v>
      </c>
      <c r="AC44" s="3">
        <v>289762.18</v>
      </c>
      <c r="AD44" s="3">
        <v>272664.71000000002</v>
      </c>
      <c r="AE44" s="3">
        <v>272203.52000000002</v>
      </c>
      <c r="AF44" s="3">
        <v>482766.46</v>
      </c>
      <c r="AG44" s="3">
        <v>212157.8</v>
      </c>
      <c r="AH44" s="3">
        <f>457219.28+230.08</f>
        <v>457449.36000000004</v>
      </c>
      <c r="AI44" s="3">
        <v>180012.43</v>
      </c>
      <c r="AJ44" s="3">
        <v>209331.46</v>
      </c>
      <c r="AK44" s="3">
        <v>190742.41</v>
      </c>
      <c r="AL44" s="3">
        <v>240751.85</v>
      </c>
      <c r="AM44" s="3">
        <v>216158.37</v>
      </c>
      <c r="AN44" s="3">
        <v>186319.3</v>
      </c>
      <c r="AO44" s="3">
        <v>146730.43</v>
      </c>
      <c r="AP44" s="3">
        <v>166130.20000000001</v>
      </c>
      <c r="AQ44" s="3">
        <v>175597.38</v>
      </c>
      <c r="AR44" s="3">
        <v>145855.32999999999</v>
      </c>
      <c r="AS44" s="3">
        <v>155216.97</v>
      </c>
      <c r="AT44" s="3">
        <v>181283.54</v>
      </c>
      <c r="AU44" s="3">
        <v>162349.72</v>
      </c>
      <c r="AV44" s="3">
        <v>278368.58</v>
      </c>
      <c r="AW44" s="3">
        <v>126429.57</v>
      </c>
      <c r="AX44" s="3">
        <v>136844.39000000001</v>
      </c>
      <c r="AY44" s="3">
        <v>145016.29999999999</v>
      </c>
      <c r="AZ44" s="3">
        <v>146652.16</v>
      </c>
      <c r="BA44" s="3">
        <v>117572.75</v>
      </c>
      <c r="BB44" s="3">
        <v>140337.53</v>
      </c>
      <c r="BC44" s="3">
        <v>146836.09</v>
      </c>
      <c r="BD44" s="3">
        <v>136350.03</v>
      </c>
      <c r="BE44" s="3">
        <v>102506.5</v>
      </c>
      <c r="BF44" s="3">
        <v>101991.84</v>
      </c>
      <c r="BG44" s="3">
        <v>110247.39</v>
      </c>
      <c r="BH44" s="3">
        <v>98334.540000000008</v>
      </c>
      <c r="BI44" s="3">
        <v>102720.98</v>
      </c>
      <c r="BJ44" s="3">
        <v>109905.88</v>
      </c>
      <c r="BK44" s="3">
        <v>119323.91</v>
      </c>
      <c r="BL44" s="3">
        <v>107159.95</v>
      </c>
      <c r="BM44" s="3">
        <v>152388.88</v>
      </c>
      <c r="BN44" s="3">
        <v>100371</v>
      </c>
      <c r="BO44" s="3">
        <v>118633.5</v>
      </c>
      <c r="BP44" s="3">
        <f>173528.62-77761.12</f>
        <v>95767.5</v>
      </c>
      <c r="BQ44" s="3">
        <f>194578.84-83632.96</f>
        <v>110945.87999999999</v>
      </c>
      <c r="BR44" s="3">
        <f>168884.93-71032.19</f>
        <v>97852.739999999991</v>
      </c>
      <c r="BS44" s="3">
        <f>204363.17-107035.67</f>
        <v>97327.500000000015</v>
      </c>
      <c r="BT44" s="3">
        <v>95983.5</v>
      </c>
    </row>
    <row r="45" spans="1:72" x14ac:dyDescent="0.35">
      <c r="B45" s="3">
        <v>30904.309999999998</v>
      </c>
      <c r="C45" s="3">
        <v>28454.46</v>
      </c>
      <c r="D45" s="3">
        <v>27917.15</v>
      </c>
      <c r="E45" s="3">
        <v>32638.859999999997</v>
      </c>
      <c r="F45" s="3">
        <v>26826.97</v>
      </c>
      <c r="G45" s="3">
        <v>28564.710000000003</v>
      </c>
      <c r="H45" s="3">
        <v>38569.08</v>
      </c>
      <c r="I45" s="3">
        <v>37803.24</v>
      </c>
      <c r="J45" s="3">
        <v>54844.880000000005</v>
      </c>
      <c r="K45" s="3">
        <v>40607.78</v>
      </c>
      <c r="L45" s="3">
        <v>36405.35</v>
      </c>
      <c r="M45" s="3">
        <v>43810.69</v>
      </c>
      <c r="N45" s="3">
        <v>30370.35</v>
      </c>
      <c r="O45" s="3">
        <v>44347.850000000006</v>
      </c>
      <c r="P45" s="3">
        <v>36610.12999999999</v>
      </c>
      <c r="Q45" s="3">
        <v>31881.18</v>
      </c>
      <c r="R45" s="3">
        <v>32230.970000000005</v>
      </c>
      <c r="S45" s="3">
        <v>35318.629999999997</v>
      </c>
      <c r="T45" s="3">
        <v>37863.770000000004</v>
      </c>
      <c r="U45" s="3">
        <v>46077.06</v>
      </c>
      <c r="V45" s="3">
        <v>30739.98</v>
      </c>
      <c r="W45" s="3">
        <v>28874.44</v>
      </c>
      <c r="X45" s="3">
        <v>30487.27</v>
      </c>
      <c r="Y45" s="3">
        <v>29430.16</v>
      </c>
      <c r="Z45" s="3">
        <v>30739.98</v>
      </c>
      <c r="AA45" s="3">
        <v>26274.959999999999</v>
      </c>
      <c r="AB45" s="3">
        <v>55263.06</v>
      </c>
      <c r="AC45" s="3">
        <v>37346.57</v>
      </c>
      <c r="AD45" s="3">
        <v>38661.71</v>
      </c>
      <c r="AE45" s="3">
        <v>39287.919999999998</v>
      </c>
      <c r="AF45" s="3">
        <v>59076.32</v>
      </c>
      <c r="AG45" s="3">
        <v>33239.21</v>
      </c>
      <c r="AH45" s="3">
        <v>34193.879999999997</v>
      </c>
      <c r="AI45" s="3">
        <v>33305.699999999997</v>
      </c>
      <c r="AJ45" s="3">
        <v>34286.03</v>
      </c>
      <c r="AK45" s="3">
        <v>44138.61</v>
      </c>
      <c r="AL45" s="3">
        <v>53682.06</v>
      </c>
      <c r="AM45" s="3">
        <v>52109.06</v>
      </c>
      <c r="AN45" s="3">
        <v>55215.59</v>
      </c>
      <c r="AO45" s="3">
        <v>56387.48</v>
      </c>
      <c r="AP45" s="3">
        <v>54129.35</v>
      </c>
      <c r="AQ45" s="3">
        <v>58029.62</v>
      </c>
      <c r="AR45" s="3">
        <v>62047.03</v>
      </c>
      <c r="AS45" s="3">
        <v>66922.100000000006</v>
      </c>
      <c r="AT45" s="3">
        <v>92907.25</v>
      </c>
      <c r="AU45" s="3">
        <v>59341.37</v>
      </c>
      <c r="AV45" s="3">
        <f>60441.26+2629.4</f>
        <v>63070.66</v>
      </c>
      <c r="AW45" s="3">
        <v>58618</v>
      </c>
      <c r="AX45" s="3">
        <v>51230.69</v>
      </c>
      <c r="AY45" s="3">
        <v>60167.73</v>
      </c>
      <c r="AZ45" s="3">
        <v>60447.45</v>
      </c>
      <c r="BA45" s="3">
        <f>55798.96</f>
        <v>55798.96</v>
      </c>
      <c r="BB45" s="3">
        <v>58468.02</v>
      </c>
      <c r="BC45" s="3">
        <v>63987.91</v>
      </c>
      <c r="BD45" s="3">
        <v>61875.28</v>
      </c>
      <c r="BE45" s="3">
        <v>74366.3</v>
      </c>
      <c r="BF45" s="3">
        <v>94236.05</v>
      </c>
      <c r="BG45" s="3">
        <v>84307.68</v>
      </c>
      <c r="BH45" s="3">
        <v>69838.760000000009</v>
      </c>
      <c r="BI45" s="3">
        <v>113530.20000000001</v>
      </c>
      <c r="BJ45" s="3">
        <v>76653.289999999994</v>
      </c>
      <c r="BK45" s="3">
        <v>84139.47</v>
      </c>
      <c r="BL45" s="3">
        <v>72889.350000000006</v>
      </c>
      <c r="BM45" s="3">
        <v>216640.55</v>
      </c>
      <c r="BN45" s="3"/>
      <c r="BO45" s="3">
        <v>68239.600000000006</v>
      </c>
      <c r="BP45" s="3">
        <v>77761.119999999995</v>
      </c>
      <c r="BQ45" s="3">
        <v>83632.959999999977</v>
      </c>
      <c r="BR45" s="3">
        <v>71032.19</v>
      </c>
      <c r="BS45" s="3">
        <v>107035.66999999998</v>
      </c>
      <c r="BT45" s="3">
        <v>68655.33</v>
      </c>
    </row>
    <row r="47" spans="1:72" x14ac:dyDescent="0.35">
      <c r="B47" s="4">
        <f>B35-B43</f>
        <v>0</v>
      </c>
      <c r="C47" s="4">
        <f t="shared" ref="C47:U49" si="228">C35-C43</f>
        <v>0</v>
      </c>
      <c r="D47" s="4">
        <f t="shared" si="228"/>
        <v>0</v>
      </c>
      <c r="E47" s="4">
        <f t="shared" si="228"/>
        <v>0</v>
      </c>
      <c r="F47" s="4">
        <f t="shared" si="228"/>
        <v>0</v>
      </c>
      <c r="G47" s="4">
        <f t="shared" si="228"/>
        <v>0</v>
      </c>
      <c r="H47" s="4">
        <f t="shared" si="228"/>
        <v>0</v>
      </c>
      <c r="I47" s="4">
        <f t="shared" si="228"/>
        <v>0</v>
      </c>
      <c r="J47" s="4">
        <f t="shared" si="228"/>
        <v>0</v>
      </c>
      <c r="K47" s="4">
        <f t="shared" si="228"/>
        <v>0</v>
      </c>
      <c r="L47" s="4">
        <f t="shared" si="228"/>
        <v>0</v>
      </c>
      <c r="M47" s="4">
        <f t="shared" si="228"/>
        <v>0</v>
      </c>
      <c r="N47" s="4">
        <f t="shared" ref="N47" si="229">N35-N43</f>
        <v>0</v>
      </c>
      <c r="O47" s="4">
        <f t="shared" si="228"/>
        <v>0</v>
      </c>
      <c r="P47" s="4">
        <f t="shared" si="228"/>
        <v>0</v>
      </c>
      <c r="Q47" s="4">
        <f t="shared" si="228"/>
        <v>0</v>
      </c>
      <c r="R47" s="4">
        <f t="shared" si="228"/>
        <v>0</v>
      </c>
      <c r="S47" s="4">
        <f t="shared" si="228"/>
        <v>0</v>
      </c>
      <c r="T47" s="4">
        <f t="shared" si="228"/>
        <v>0</v>
      </c>
      <c r="U47" s="4">
        <f t="shared" si="228"/>
        <v>0</v>
      </c>
      <c r="V47" s="4">
        <f t="shared" ref="V47:W47" si="230">V35-V43</f>
        <v>0</v>
      </c>
      <c r="W47" s="4">
        <f t="shared" si="230"/>
        <v>0</v>
      </c>
      <c r="X47" s="4">
        <f t="shared" ref="X47:Y47" si="231">X35-X43</f>
        <v>0</v>
      </c>
      <c r="Y47" s="4">
        <f t="shared" si="231"/>
        <v>0</v>
      </c>
      <c r="Z47" s="4">
        <f t="shared" ref="Z47:AB47" si="232">Z35-Z43</f>
        <v>0</v>
      </c>
      <c r="AA47" s="4">
        <f t="shared" ref="AA47" si="233">AA35-AA43</f>
        <v>0</v>
      </c>
      <c r="AB47" s="4">
        <f t="shared" si="232"/>
        <v>0</v>
      </c>
      <c r="AC47" s="4">
        <f t="shared" ref="AC47:AE47" si="234">AC35-AC43</f>
        <v>0</v>
      </c>
      <c r="AD47" s="4">
        <f t="shared" si="234"/>
        <v>0</v>
      </c>
      <c r="AE47" s="4">
        <f t="shared" si="234"/>
        <v>0</v>
      </c>
      <c r="AF47" s="4">
        <f t="shared" ref="AF47:AG47" si="235">AF35-AF43</f>
        <v>0</v>
      </c>
      <c r="AG47" s="4">
        <f t="shared" si="235"/>
        <v>0</v>
      </c>
      <c r="AH47" s="4">
        <f t="shared" ref="AH47:AI47" si="236">AH35-AH43</f>
        <v>0</v>
      </c>
      <c r="AI47" s="4">
        <f t="shared" si="236"/>
        <v>0</v>
      </c>
      <c r="AJ47" s="4">
        <f t="shared" ref="AJ47:AK47" si="237">AJ35-AJ43</f>
        <v>0</v>
      </c>
      <c r="AK47" s="4">
        <f t="shared" si="237"/>
        <v>0</v>
      </c>
      <c r="AL47" s="4">
        <f t="shared" ref="AL47:AM47" si="238">AL35-AL43</f>
        <v>0</v>
      </c>
      <c r="AM47" s="4">
        <f t="shared" si="238"/>
        <v>0</v>
      </c>
      <c r="AN47" s="4">
        <f t="shared" ref="AN47:AO47" si="239">AN35-AN43</f>
        <v>0</v>
      </c>
      <c r="AO47" s="4">
        <f t="shared" si="239"/>
        <v>0</v>
      </c>
      <c r="AP47" s="4">
        <f t="shared" ref="AP47:AQ47" si="240">AP35-AP43</f>
        <v>0</v>
      </c>
      <c r="AQ47" s="4">
        <f t="shared" si="240"/>
        <v>0</v>
      </c>
      <c r="AR47" s="4">
        <f t="shared" ref="AR47:AS47" si="241">AR35-AR43</f>
        <v>0</v>
      </c>
      <c r="AS47" s="4">
        <f t="shared" si="241"/>
        <v>0</v>
      </c>
      <c r="AT47" s="4">
        <f t="shared" ref="AT47:AU47" si="242">AT35-AT43</f>
        <v>0</v>
      </c>
      <c r="AU47" s="4">
        <f t="shared" si="242"/>
        <v>0</v>
      </c>
      <c r="AV47" s="4">
        <f t="shared" ref="AV47:AW47" si="243">AV35-AV43</f>
        <v>0</v>
      </c>
      <c r="AW47" s="4">
        <f t="shared" si="243"/>
        <v>0</v>
      </c>
      <c r="AX47" s="4">
        <f t="shared" ref="AX47:AY47" si="244">AX35-AX43</f>
        <v>0</v>
      </c>
      <c r="AY47" s="4">
        <f t="shared" si="244"/>
        <v>0</v>
      </c>
      <c r="AZ47" s="4">
        <f t="shared" ref="AZ47:BA47" si="245">AZ35-AZ43</f>
        <v>0</v>
      </c>
      <c r="BA47" s="4">
        <f t="shared" si="245"/>
        <v>0</v>
      </c>
      <c r="BB47" s="4">
        <f t="shared" ref="BB47:BC47" si="246">BB35-BB43</f>
        <v>0</v>
      </c>
      <c r="BC47" s="4">
        <f t="shared" si="246"/>
        <v>0</v>
      </c>
      <c r="BD47" s="4">
        <f t="shared" ref="BD47:BE47" si="247">BD35-BD43</f>
        <v>0</v>
      </c>
      <c r="BE47" s="4">
        <f t="shared" si="247"/>
        <v>0</v>
      </c>
      <c r="BF47" s="4">
        <f t="shared" ref="BF47:BG47" si="248">BF35-BF43</f>
        <v>0</v>
      </c>
      <c r="BG47" s="4">
        <f t="shared" si="248"/>
        <v>0</v>
      </c>
      <c r="BH47" s="4">
        <f t="shared" ref="BH47:BI47" si="249">BH35-BH43</f>
        <v>0</v>
      </c>
      <c r="BI47" s="4">
        <f t="shared" si="249"/>
        <v>0</v>
      </c>
      <c r="BJ47" s="4">
        <f t="shared" ref="BJ47:BK47" si="250">BJ35-BJ43</f>
        <v>0</v>
      </c>
      <c r="BK47" s="4">
        <f t="shared" si="250"/>
        <v>0</v>
      </c>
      <c r="BL47" s="4">
        <f t="shared" ref="BL47:BM47" si="251">BL35-BL43</f>
        <v>0</v>
      </c>
      <c r="BM47" s="4">
        <f t="shared" si="251"/>
        <v>0</v>
      </c>
      <c r="BN47" s="4">
        <f t="shared" ref="BN47:BO47" si="252">BN35-BN43</f>
        <v>0</v>
      </c>
      <c r="BO47" s="4">
        <f t="shared" si="252"/>
        <v>0</v>
      </c>
      <c r="BP47" s="4">
        <f t="shared" ref="BP47:BQ47" si="253">BP35-BP43</f>
        <v>0</v>
      </c>
      <c r="BQ47" s="4">
        <f t="shared" si="253"/>
        <v>0</v>
      </c>
      <c r="BR47" s="4">
        <f t="shared" ref="BR47:BS47" si="254">BR35-BR43</f>
        <v>0</v>
      </c>
      <c r="BS47" s="4">
        <f t="shared" si="254"/>
        <v>0</v>
      </c>
      <c r="BT47" s="4">
        <f t="shared" ref="BT47" si="255">BT35-BT43</f>
        <v>0</v>
      </c>
    </row>
    <row r="48" spans="1:72" x14ac:dyDescent="0.35">
      <c r="B48" s="4">
        <f t="shared" ref="B48:R49" si="256">B36-B44</f>
        <v>0</v>
      </c>
      <c r="C48" s="4">
        <f t="shared" si="256"/>
        <v>0</v>
      </c>
      <c r="D48" s="4">
        <f t="shared" si="256"/>
        <v>0</v>
      </c>
      <c r="E48" s="4">
        <f t="shared" si="256"/>
        <v>0</v>
      </c>
      <c r="F48" s="4">
        <f t="shared" si="256"/>
        <v>0</v>
      </c>
      <c r="G48" s="4">
        <f t="shared" si="256"/>
        <v>0</v>
      </c>
      <c r="H48" s="4">
        <f t="shared" si="256"/>
        <v>0</v>
      </c>
      <c r="I48" s="4">
        <f t="shared" si="256"/>
        <v>0</v>
      </c>
      <c r="J48" s="4">
        <f t="shared" si="256"/>
        <v>0</v>
      </c>
      <c r="K48" s="4">
        <f t="shared" si="256"/>
        <v>0</v>
      </c>
      <c r="L48" s="4">
        <f t="shared" si="256"/>
        <v>0</v>
      </c>
      <c r="M48" s="4">
        <f t="shared" si="256"/>
        <v>0</v>
      </c>
      <c r="N48" s="4">
        <f t="shared" ref="N48" si="257">N36-N44</f>
        <v>0</v>
      </c>
      <c r="O48" s="4">
        <f t="shared" si="256"/>
        <v>0</v>
      </c>
      <c r="P48" s="4">
        <f t="shared" si="256"/>
        <v>0</v>
      </c>
      <c r="Q48" s="4">
        <f t="shared" si="256"/>
        <v>0</v>
      </c>
      <c r="R48" s="4">
        <f t="shared" si="256"/>
        <v>0</v>
      </c>
      <c r="S48" s="4">
        <f t="shared" si="228"/>
        <v>0</v>
      </c>
      <c r="T48" s="4">
        <f t="shared" si="228"/>
        <v>0</v>
      </c>
      <c r="U48" s="4">
        <f t="shared" si="228"/>
        <v>0</v>
      </c>
      <c r="V48" s="4">
        <f t="shared" ref="V48:W48" si="258">V36-V44</f>
        <v>0</v>
      </c>
      <c r="W48" s="4">
        <f t="shared" si="258"/>
        <v>0</v>
      </c>
      <c r="X48" s="4">
        <f t="shared" ref="X48:Y48" si="259">X36-X44</f>
        <v>0</v>
      </c>
      <c r="Y48" s="4">
        <f t="shared" si="259"/>
        <v>0</v>
      </c>
      <c r="Z48" s="4">
        <f t="shared" ref="Z48:AB48" si="260">Z36-Z44</f>
        <v>0</v>
      </c>
      <c r="AA48" s="4">
        <f t="shared" ref="AA48" si="261">AA36-AA44</f>
        <v>0</v>
      </c>
      <c r="AB48" s="4">
        <f t="shared" si="260"/>
        <v>0</v>
      </c>
      <c r="AC48" s="4">
        <f t="shared" ref="AC48:AE48" si="262">AC36-AC44</f>
        <v>0</v>
      </c>
      <c r="AD48" s="4">
        <f t="shared" si="262"/>
        <v>0</v>
      </c>
      <c r="AE48" s="4">
        <f t="shared" si="262"/>
        <v>0</v>
      </c>
      <c r="AF48" s="4">
        <f t="shared" ref="AF48:AG48" si="263">AF36-AF44</f>
        <v>0</v>
      </c>
      <c r="AG48" s="4">
        <f t="shared" si="263"/>
        <v>0</v>
      </c>
      <c r="AH48" s="4">
        <f t="shared" ref="AH48:AI48" si="264">AH36-AH44</f>
        <v>0</v>
      </c>
      <c r="AI48" s="4">
        <f t="shared" si="264"/>
        <v>0</v>
      </c>
      <c r="AJ48" s="4">
        <f t="shared" ref="AJ48:AK48" si="265">AJ36-AJ44</f>
        <v>0</v>
      </c>
      <c r="AK48" s="4">
        <f t="shared" si="265"/>
        <v>0</v>
      </c>
      <c r="AL48" s="4">
        <f t="shared" ref="AL48:AM48" si="266">AL36-AL44</f>
        <v>0</v>
      </c>
      <c r="AM48" s="4">
        <f t="shared" si="266"/>
        <v>0</v>
      </c>
      <c r="AN48" s="4">
        <f t="shared" ref="AN48:AO48" si="267">AN36-AN44</f>
        <v>0</v>
      </c>
      <c r="AO48" s="4">
        <f t="shared" si="267"/>
        <v>0</v>
      </c>
      <c r="AP48" s="4">
        <f t="shared" ref="AP48:AQ48" si="268">AP36-AP44</f>
        <v>0</v>
      </c>
      <c r="AQ48" s="4">
        <f t="shared" si="268"/>
        <v>0</v>
      </c>
      <c r="AR48" s="4">
        <f t="shared" ref="AR48:AS48" si="269">AR36-AR44</f>
        <v>0</v>
      </c>
      <c r="AS48" s="4">
        <f t="shared" si="269"/>
        <v>0</v>
      </c>
      <c r="AT48" s="4">
        <f t="shared" ref="AT48:AU48" si="270">AT36-AT44</f>
        <v>0</v>
      </c>
      <c r="AU48" s="4">
        <f t="shared" si="270"/>
        <v>0</v>
      </c>
      <c r="AV48" s="4">
        <f>AV36-AV44</f>
        <v>0</v>
      </c>
      <c r="AW48" s="4">
        <f t="shared" ref="AW48:AX48" si="271">AW36-AW44</f>
        <v>0</v>
      </c>
      <c r="AX48" s="4">
        <f t="shared" si="271"/>
        <v>0</v>
      </c>
      <c r="AY48" s="4">
        <f t="shared" ref="AY48:AZ48" si="272">AY36-AY44</f>
        <v>0</v>
      </c>
      <c r="AZ48" s="4">
        <f t="shared" si="272"/>
        <v>0</v>
      </c>
      <c r="BA48" s="4">
        <f t="shared" ref="BA48:BC48" si="273">BA36-BA44</f>
        <v>0</v>
      </c>
      <c r="BB48" s="4">
        <f t="shared" si="273"/>
        <v>0</v>
      </c>
      <c r="BC48" s="4">
        <f t="shared" si="273"/>
        <v>0</v>
      </c>
      <c r="BD48" s="4">
        <f t="shared" ref="BD48:BE48" si="274">BD36-BD44</f>
        <v>0</v>
      </c>
      <c r="BE48" s="4">
        <f t="shared" si="274"/>
        <v>0</v>
      </c>
      <c r="BF48" s="4">
        <f t="shared" ref="BF48:BG48" si="275">BF36-BF44</f>
        <v>0</v>
      </c>
      <c r="BG48" s="4">
        <f t="shared" si="275"/>
        <v>0</v>
      </c>
      <c r="BH48" s="4">
        <f t="shared" ref="BH48:BI48" si="276">BH36-BH44</f>
        <v>0</v>
      </c>
      <c r="BI48" s="4">
        <f t="shared" si="276"/>
        <v>0</v>
      </c>
      <c r="BJ48" s="4">
        <f t="shared" ref="BJ48:BK48" si="277">BJ36-BJ44</f>
        <v>0</v>
      </c>
      <c r="BK48" s="4">
        <f t="shared" si="277"/>
        <v>0</v>
      </c>
      <c r="BL48" s="4">
        <f t="shared" ref="BL48:BM48" si="278">BL36-BL44</f>
        <v>0</v>
      </c>
      <c r="BM48" s="4">
        <f t="shared" si="278"/>
        <v>0</v>
      </c>
      <c r="BN48" s="4">
        <f t="shared" ref="BN48:BO48" si="279">BN36-BN44</f>
        <v>0</v>
      </c>
      <c r="BO48" s="4">
        <f t="shared" si="279"/>
        <v>0</v>
      </c>
      <c r="BP48" s="4">
        <f t="shared" ref="BP48:BQ48" si="280">BP36-BP44</f>
        <v>0</v>
      </c>
      <c r="BQ48" s="4">
        <f t="shared" si="280"/>
        <v>0</v>
      </c>
      <c r="BR48" s="4">
        <f t="shared" ref="BR48:BS48" si="281">BR36-BR44</f>
        <v>0</v>
      </c>
      <c r="BS48" s="4">
        <f t="shared" si="281"/>
        <v>0</v>
      </c>
      <c r="BT48" s="4">
        <f t="shared" ref="BT48" si="282">BT36-BT44</f>
        <v>0</v>
      </c>
    </row>
    <row r="49" spans="2:72" x14ac:dyDescent="0.35">
      <c r="B49" s="4">
        <f t="shared" si="256"/>
        <v>0</v>
      </c>
      <c r="C49" s="4">
        <f t="shared" si="228"/>
        <v>0</v>
      </c>
      <c r="D49" s="4">
        <f t="shared" si="228"/>
        <v>0</v>
      </c>
      <c r="E49" s="4">
        <f t="shared" si="228"/>
        <v>0</v>
      </c>
      <c r="F49" s="4">
        <f t="shared" si="228"/>
        <v>0</v>
      </c>
      <c r="G49" s="4">
        <f t="shared" si="228"/>
        <v>0</v>
      </c>
      <c r="H49" s="4">
        <f t="shared" si="228"/>
        <v>0</v>
      </c>
      <c r="I49" s="4">
        <f t="shared" si="228"/>
        <v>0</v>
      </c>
      <c r="J49" s="4">
        <f t="shared" si="228"/>
        <v>0</v>
      </c>
      <c r="K49" s="4">
        <f t="shared" si="228"/>
        <v>0</v>
      </c>
      <c r="L49" s="4">
        <f t="shared" si="228"/>
        <v>0</v>
      </c>
      <c r="M49" s="4">
        <f t="shared" si="228"/>
        <v>0</v>
      </c>
      <c r="N49" s="4">
        <f t="shared" ref="N49" si="283">N37-N45</f>
        <v>0</v>
      </c>
      <c r="O49" s="4">
        <f t="shared" si="228"/>
        <v>0</v>
      </c>
      <c r="P49" s="4">
        <f t="shared" si="228"/>
        <v>0</v>
      </c>
      <c r="Q49" s="4">
        <f t="shared" si="228"/>
        <v>0</v>
      </c>
      <c r="R49" s="4">
        <f t="shared" si="228"/>
        <v>0</v>
      </c>
      <c r="S49" s="4">
        <f t="shared" si="228"/>
        <v>0</v>
      </c>
      <c r="T49" s="4">
        <f t="shared" si="228"/>
        <v>0</v>
      </c>
      <c r="U49" s="4">
        <f t="shared" si="228"/>
        <v>0</v>
      </c>
      <c r="V49" s="4">
        <f t="shared" ref="V49:W49" si="284">V37-V45</f>
        <v>0</v>
      </c>
      <c r="W49" s="4">
        <f t="shared" si="284"/>
        <v>0</v>
      </c>
      <c r="X49" s="4">
        <f t="shared" ref="X49:Y49" si="285">X37-X45</f>
        <v>0</v>
      </c>
      <c r="Y49" s="4">
        <f t="shared" si="285"/>
        <v>0</v>
      </c>
      <c r="Z49" s="4">
        <f t="shared" ref="Z49:AB49" si="286">Z37-Z45</f>
        <v>0</v>
      </c>
      <c r="AA49" s="4">
        <f t="shared" ref="AA49" si="287">AA37-AA45</f>
        <v>0</v>
      </c>
      <c r="AB49" s="4">
        <f t="shared" si="286"/>
        <v>0</v>
      </c>
      <c r="AC49" s="4">
        <f t="shared" ref="AC49:AE49" si="288">AC37-AC45</f>
        <v>0</v>
      </c>
      <c r="AD49" s="4">
        <f t="shared" si="288"/>
        <v>0</v>
      </c>
      <c r="AE49" s="4">
        <f t="shared" si="288"/>
        <v>0</v>
      </c>
      <c r="AF49" s="4">
        <f t="shared" ref="AF49:AG49" si="289">AF37-AF45</f>
        <v>0</v>
      </c>
      <c r="AG49" s="4">
        <f t="shared" si="289"/>
        <v>0</v>
      </c>
      <c r="AH49" s="4">
        <f t="shared" ref="AH49:AI49" si="290">AH37-AH45</f>
        <v>0</v>
      </c>
      <c r="AI49" s="4">
        <f t="shared" si="290"/>
        <v>0</v>
      </c>
      <c r="AJ49" s="4">
        <f t="shared" ref="AJ49:AK49" si="291">AJ37-AJ45</f>
        <v>0</v>
      </c>
      <c r="AK49" s="4">
        <f t="shared" si="291"/>
        <v>0</v>
      </c>
      <c r="AL49" s="4">
        <f t="shared" ref="AL49:AM49" si="292">AL37-AL45</f>
        <v>0</v>
      </c>
      <c r="AM49" s="4">
        <f t="shared" si="292"/>
        <v>0</v>
      </c>
      <c r="AN49" s="4">
        <f t="shared" ref="AN49:AO49" si="293">AN37-AN45</f>
        <v>0</v>
      </c>
      <c r="AO49" s="4">
        <f t="shared" si="293"/>
        <v>0</v>
      </c>
      <c r="AP49" s="4">
        <f t="shared" ref="AP49:AQ49" si="294">AP37-AP45</f>
        <v>0</v>
      </c>
      <c r="AQ49" s="4">
        <f t="shared" si="294"/>
        <v>0</v>
      </c>
      <c r="AR49" s="4">
        <f t="shared" ref="AR49:AS49" si="295">AR37-AR45</f>
        <v>0</v>
      </c>
      <c r="AS49" s="4">
        <f t="shared" si="295"/>
        <v>0</v>
      </c>
      <c r="AT49" s="4">
        <f t="shared" ref="AT49:AU49" si="296">AT37-AT45</f>
        <v>0</v>
      </c>
      <c r="AU49" s="4">
        <f t="shared" si="296"/>
        <v>0</v>
      </c>
      <c r="AV49" s="4">
        <f t="shared" ref="AV49:AW49" si="297">AV37-AV45</f>
        <v>0</v>
      </c>
      <c r="AW49" s="4">
        <f t="shared" si="297"/>
        <v>0</v>
      </c>
      <c r="AX49" s="4">
        <f t="shared" ref="AX49:AY49" si="298">AX37-AX45</f>
        <v>0</v>
      </c>
      <c r="AY49" s="4">
        <f t="shared" si="298"/>
        <v>0</v>
      </c>
      <c r="AZ49" s="4">
        <f t="shared" ref="AZ49:BA49" si="299">AZ37-AZ45</f>
        <v>0</v>
      </c>
      <c r="BA49" s="4">
        <f t="shared" si="299"/>
        <v>0</v>
      </c>
      <c r="BB49" s="4">
        <f t="shared" ref="BB49:BC49" si="300">BB37-BB45</f>
        <v>0</v>
      </c>
      <c r="BC49" s="4">
        <f t="shared" si="300"/>
        <v>0</v>
      </c>
      <c r="BD49" s="4">
        <f t="shared" ref="BD49:BE49" si="301">BD37-BD45</f>
        <v>0</v>
      </c>
      <c r="BE49" s="4">
        <f t="shared" si="301"/>
        <v>0</v>
      </c>
      <c r="BF49" s="4">
        <f t="shared" ref="BF49:BG49" si="302">BF37-BF45</f>
        <v>0</v>
      </c>
      <c r="BG49" s="4">
        <f t="shared" si="302"/>
        <v>0</v>
      </c>
      <c r="BH49" s="4">
        <f t="shared" ref="BH49:BI49" si="303">BH37-BH45</f>
        <v>0</v>
      </c>
      <c r="BI49" s="4">
        <f t="shared" si="303"/>
        <v>0</v>
      </c>
      <c r="BJ49" s="4">
        <f t="shared" ref="BJ49:BK49" si="304">BJ37-BJ45</f>
        <v>0</v>
      </c>
      <c r="BK49" s="4">
        <f t="shared" si="304"/>
        <v>0</v>
      </c>
      <c r="BL49" s="4">
        <f t="shared" ref="BL49:BM49" si="305">BL37-BL45</f>
        <v>0</v>
      </c>
      <c r="BM49" s="4">
        <f t="shared" si="305"/>
        <v>0</v>
      </c>
      <c r="BN49" s="4">
        <f t="shared" ref="BN49:BO49" si="306">BN37-BN45</f>
        <v>72434.44</v>
      </c>
      <c r="BO49" s="4">
        <f t="shared" si="306"/>
        <v>0</v>
      </c>
      <c r="BP49" s="4">
        <f t="shared" ref="BP49:BQ49" si="307">BP37-BP45</f>
        <v>0</v>
      </c>
      <c r="BQ49" s="4">
        <f t="shared" si="307"/>
        <v>0</v>
      </c>
      <c r="BR49" s="4">
        <f t="shared" ref="BR49:BS49" si="308">BR37-BR45</f>
        <v>0</v>
      </c>
      <c r="BS49" s="4">
        <f t="shared" si="308"/>
        <v>0</v>
      </c>
      <c r="BT49" s="4">
        <f t="shared" ref="BT49" si="309">BT37-BT45</f>
        <v>0</v>
      </c>
    </row>
    <row r="51" spans="2:72" x14ac:dyDescent="0.35">
      <c r="B51" s="3">
        <v>80.400000000000006</v>
      </c>
      <c r="C51" s="3">
        <v>80.400000000000006</v>
      </c>
      <c r="D51" s="3">
        <v>113.9</v>
      </c>
      <c r="E51" s="3">
        <v>80.400000000000006</v>
      </c>
      <c r="F51" s="3">
        <v>80.400000000000006</v>
      </c>
      <c r="G51" s="3">
        <v>80.400000000000006</v>
      </c>
      <c r="H51" s="3">
        <v>80.400000000000006</v>
      </c>
      <c r="I51" s="3">
        <v>80.400000000000006</v>
      </c>
      <c r="J51" s="3">
        <v>80.400000000000006</v>
      </c>
      <c r="K51" s="3">
        <v>176.11</v>
      </c>
      <c r="L51" s="3">
        <v>87.2</v>
      </c>
      <c r="M51" s="3">
        <v>454.4</v>
      </c>
      <c r="N51" s="3">
        <v>632.20000000000005</v>
      </c>
      <c r="O51" s="3">
        <v>178.26999999999998</v>
      </c>
      <c r="P51" s="3">
        <v>87.2</v>
      </c>
      <c r="Q51" s="3">
        <v>123.53</v>
      </c>
      <c r="R51" s="3">
        <v>87.2</v>
      </c>
      <c r="S51" s="3">
        <v>1090</v>
      </c>
      <c r="T51" s="3">
        <v>87.2</v>
      </c>
      <c r="U51" s="3">
        <v>87.2</v>
      </c>
      <c r="V51" s="3">
        <v>87.2</v>
      </c>
      <c r="W51" s="3">
        <v>87.2</v>
      </c>
      <c r="X51" s="3">
        <v>929.77</v>
      </c>
      <c r="Y51" s="3">
        <v>4914.28</v>
      </c>
      <c r="Z51" s="3">
        <v>87.2</v>
      </c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2" spans="2:72" x14ac:dyDescent="0.35">
      <c r="B52" s="3">
        <v>68104.42</v>
      </c>
      <c r="C52" s="3">
        <v>59822.27999999997</v>
      </c>
      <c r="D52" s="3">
        <v>62126.40999999996</v>
      </c>
      <c r="E52" s="3">
        <v>62219.179999999986</v>
      </c>
      <c r="F52" s="3">
        <v>68081.929999999993</v>
      </c>
      <c r="G52" s="3">
        <v>51689.659999999974</v>
      </c>
      <c r="H52" s="3">
        <v>58987.309999999969</v>
      </c>
      <c r="I52" s="3">
        <v>54969.689999999973</v>
      </c>
      <c r="J52" s="3">
        <v>60827.799999999959</v>
      </c>
      <c r="K52" s="3">
        <v>128831.37999999995</v>
      </c>
      <c r="L52" s="3">
        <v>80334.039999999964</v>
      </c>
      <c r="M52" s="3">
        <v>124592.86999999991</v>
      </c>
      <c r="N52" s="3">
        <v>157808.04</v>
      </c>
      <c r="O52" s="3">
        <v>80440.720000000016</v>
      </c>
      <c r="P52" s="3">
        <v>59220.879999999983</v>
      </c>
      <c r="Q52" s="3">
        <v>80030.61</v>
      </c>
      <c r="R52" s="3">
        <v>61422.099999999991</v>
      </c>
      <c r="S52" s="3">
        <v>69085.290000000023</v>
      </c>
      <c r="T52" s="3">
        <v>85015.499999999985</v>
      </c>
      <c r="U52" s="3">
        <v>132934.62999999995</v>
      </c>
      <c r="V52" s="3">
        <v>91219.73</v>
      </c>
      <c r="W52" s="3">
        <v>216111.18</v>
      </c>
      <c r="X52" s="3">
        <v>89911.27</v>
      </c>
      <c r="Y52" s="3">
        <v>103912.06</v>
      </c>
      <c r="Z52" s="3">
        <v>91219.73</v>
      </c>
      <c r="AA52" s="3">
        <v>174410.97</v>
      </c>
      <c r="AB52" s="3">
        <v>211582.16</v>
      </c>
      <c r="AC52" s="3">
        <v>85888.72</v>
      </c>
      <c r="AD52" s="3">
        <v>70420.13</v>
      </c>
      <c r="AE52" s="3">
        <v>60790.38</v>
      </c>
      <c r="AF52" s="3">
        <v>318689.33</v>
      </c>
      <c r="AG52" s="3">
        <v>48044.69</v>
      </c>
      <c r="AH52" s="3">
        <f>319762.31+ 1.62</f>
        <v>319763.93</v>
      </c>
      <c r="AI52" s="3">
        <f>67154.39+1.09+0.42+1.66+0.44</f>
        <v>67158</v>
      </c>
      <c r="AJ52" s="3">
        <f>91368.5+122.67+4.12+104.65+171.62+13.63</f>
        <v>91785.189999999988</v>
      </c>
      <c r="AK52" s="3">
        <v>42976.04</v>
      </c>
      <c r="AL52" s="3">
        <f>103721.8+8.56+7.34+4</f>
        <v>103741.7</v>
      </c>
      <c r="AM52" s="3">
        <f>131014.56+6.05+10.06+16.5</f>
        <v>131047.17</v>
      </c>
      <c r="AN52" s="3">
        <v>61586.61</v>
      </c>
      <c r="AO52" s="3">
        <v>35475.089999999997</v>
      </c>
      <c r="AP52" s="3">
        <v>54497.23</v>
      </c>
      <c r="AQ52" s="3">
        <v>44907.54</v>
      </c>
      <c r="AR52" s="3">
        <v>35939.360000000001</v>
      </c>
      <c r="AS52" s="3">
        <v>41022.629999999997</v>
      </c>
      <c r="AT52" s="3">
        <v>62958.55</v>
      </c>
      <c r="AU52" s="3">
        <v>53122.93</v>
      </c>
      <c r="AV52" s="3">
        <v>163082.82999999999</v>
      </c>
      <c r="AW52" s="3">
        <v>28216.880000000001</v>
      </c>
      <c r="AX52" s="3">
        <v>51892.61</v>
      </c>
      <c r="AY52" s="3">
        <v>83239.25</v>
      </c>
      <c r="AZ52" s="3">
        <v>55919.88</v>
      </c>
      <c r="BA52" s="3">
        <v>32688.87</v>
      </c>
      <c r="BB52" s="3">
        <v>38282.36</v>
      </c>
      <c r="BC52" s="3">
        <v>35622.589999999997</v>
      </c>
      <c r="BD52" s="3">
        <v>42683.57</v>
      </c>
      <c r="BE52" s="3">
        <v>29803.81</v>
      </c>
      <c r="BF52" s="3">
        <v>27661.26</v>
      </c>
      <c r="BG52" s="3">
        <v>37575.43</v>
      </c>
      <c r="BH52" s="3">
        <v>28386.32</v>
      </c>
      <c r="BI52" s="3">
        <v>23714</v>
      </c>
      <c r="BJ52" s="3">
        <v>28827.66</v>
      </c>
      <c r="BK52" s="3">
        <v>67044.759999999995</v>
      </c>
      <c r="BL52" s="3">
        <v>78411.289999999994</v>
      </c>
      <c r="BM52" s="3">
        <v>47344.959999999999</v>
      </c>
      <c r="BN52" s="3">
        <v>25305.72</v>
      </c>
      <c r="BO52" s="3">
        <v>30327.91</v>
      </c>
      <c r="BP52" s="3">
        <f>50197.26-25761.78</f>
        <v>24435.480000000003</v>
      </c>
      <c r="BQ52" s="3">
        <f>84901.1-36687.42</f>
        <v>48213.680000000008</v>
      </c>
      <c r="BR52" s="3">
        <f>53678.08-26440.93</f>
        <v>27237.15</v>
      </c>
      <c r="BS52" s="3">
        <f>76252.62-51462.43</f>
        <v>24790.189999999995</v>
      </c>
      <c r="BT52" s="3">
        <v>24473.66</v>
      </c>
    </row>
    <row r="53" spans="2:72" x14ac:dyDescent="0.35">
      <c r="B53" s="3">
        <v>8002.9600000000009</v>
      </c>
      <c r="C53" s="3">
        <v>5312.9000000000005</v>
      </c>
      <c r="D53" s="3">
        <v>6285</v>
      </c>
      <c r="E53" s="3">
        <v>6456.59</v>
      </c>
      <c r="F53" s="3">
        <v>4947.9400000000005</v>
      </c>
      <c r="G53" s="3">
        <v>5690.75</v>
      </c>
      <c r="H53" s="3">
        <v>11227.530000000002</v>
      </c>
      <c r="I53" s="3">
        <v>8178.91</v>
      </c>
      <c r="J53" s="3">
        <v>29108.119999999992</v>
      </c>
      <c r="K53" s="3">
        <v>12884.679999999998</v>
      </c>
      <c r="L53" s="3">
        <v>7683.11</v>
      </c>
      <c r="M53" s="3">
        <v>18305.359999999997</v>
      </c>
      <c r="N53" s="3">
        <v>21830.67</v>
      </c>
      <c r="O53" s="3">
        <v>14350.65</v>
      </c>
      <c r="P53" s="3">
        <v>10890.34</v>
      </c>
      <c r="Q53" s="3">
        <v>7339.8000000000011</v>
      </c>
      <c r="R53" s="3">
        <v>6349.0000000000009</v>
      </c>
      <c r="S53" s="3">
        <v>6681.0100000000011</v>
      </c>
      <c r="T53" s="3">
        <v>14286.150000000001</v>
      </c>
      <c r="U53" s="3">
        <v>21791.109999999993</v>
      </c>
      <c r="V53" s="3">
        <v>6191.45</v>
      </c>
      <c r="W53" s="3">
        <v>5315.18</v>
      </c>
      <c r="X53" s="3">
        <v>8663.9500000000007</v>
      </c>
      <c r="Y53" s="3">
        <v>12026.36</v>
      </c>
      <c r="Z53" s="3">
        <v>6191.45</v>
      </c>
      <c r="AA53" s="3">
        <v>17187.36</v>
      </c>
      <c r="AB53" s="3">
        <v>24813.55</v>
      </c>
      <c r="AC53" s="3">
        <v>7772.81</v>
      </c>
      <c r="AD53" s="3">
        <v>8907.14</v>
      </c>
      <c r="AE53" s="3">
        <v>7919.46</v>
      </c>
      <c r="AF53" s="3">
        <v>33353.35</v>
      </c>
      <c r="AG53" s="3">
        <v>6593.33</v>
      </c>
      <c r="AH53" s="3">
        <v>9794.17</v>
      </c>
      <c r="AI53" s="3">
        <v>7371.43</v>
      </c>
      <c r="AJ53" s="3">
        <f>9460.16</f>
        <v>9460.16</v>
      </c>
      <c r="AK53" s="3">
        <v>9075.9</v>
      </c>
      <c r="AL53" s="3">
        <v>14583.77</v>
      </c>
      <c r="AM53" s="3">
        <v>24355</v>
      </c>
      <c r="AN53" s="3">
        <v>13004.2</v>
      </c>
      <c r="AO53" s="3">
        <v>13441.85</v>
      </c>
      <c r="AP53" s="3">
        <v>18092.84</v>
      </c>
      <c r="AQ53" s="3">
        <v>12770.18</v>
      </c>
      <c r="AR53" s="3">
        <v>14721.5</v>
      </c>
      <c r="AS53" s="3">
        <v>18433.8</v>
      </c>
      <c r="AT53" s="3">
        <v>51481.4</v>
      </c>
      <c r="AU53" s="3">
        <v>19286.689999999999</v>
      </c>
      <c r="AV53" s="3">
        <v>27299.68</v>
      </c>
      <c r="AW53" s="3">
        <v>12699.76</v>
      </c>
      <c r="AX53" s="3">
        <v>11430.53</v>
      </c>
      <c r="AY53" s="3">
        <v>30925.61</v>
      </c>
      <c r="AZ53" s="3">
        <v>19362.54</v>
      </c>
      <c r="BA53" s="3">
        <v>12232.19</v>
      </c>
      <c r="BB53" s="3">
        <v>14765.27</v>
      </c>
      <c r="BC53" s="3">
        <v>13460.01</v>
      </c>
      <c r="BD53" s="3">
        <v>19439.150000000001</v>
      </c>
      <c r="BE53" s="3">
        <v>16262.22</v>
      </c>
      <c r="BF53" s="3">
        <v>33556.26</v>
      </c>
      <c r="BG53" s="3">
        <v>30911.42</v>
      </c>
      <c r="BH53" s="3">
        <v>16937.29</v>
      </c>
      <c r="BI53" s="3">
        <v>30659.47</v>
      </c>
      <c r="BJ53" s="3">
        <v>18767.34</v>
      </c>
      <c r="BK53" s="3">
        <v>34227.699999999997</v>
      </c>
      <c r="BL53" s="3">
        <v>51694.27</v>
      </c>
      <c r="BM53" s="3">
        <v>75829.960000000006</v>
      </c>
      <c r="BN53" s="3"/>
      <c r="BO53" s="3">
        <v>22091.37</v>
      </c>
      <c r="BP53" s="3">
        <v>25761.78000000001</v>
      </c>
      <c r="BQ53" s="3">
        <v>36687.420000000006</v>
      </c>
      <c r="BR53" s="3">
        <v>26440.930000000004</v>
      </c>
      <c r="BS53" s="3">
        <v>51462.43</v>
      </c>
      <c r="BT53" s="3">
        <v>26801.01</v>
      </c>
    </row>
    <row r="54" spans="2:72" x14ac:dyDescent="0.35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</row>
    <row r="55" spans="2:72" x14ac:dyDescent="0.35">
      <c r="B55" s="3">
        <f>B39-B51</f>
        <v>0</v>
      </c>
      <c r="C55" s="3">
        <f t="shared" ref="C55:U57" si="310">C39-C51</f>
        <v>0</v>
      </c>
      <c r="D55" s="3">
        <f t="shared" si="310"/>
        <v>0</v>
      </c>
      <c r="E55" s="3">
        <f t="shared" si="310"/>
        <v>0</v>
      </c>
      <c r="F55" s="3">
        <f t="shared" si="310"/>
        <v>0</v>
      </c>
      <c r="G55" s="3">
        <f t="shared" si="310"/>
        <v>0</v>
      </c>
      <c r="H55" s="3">
        <f t="shared" si="310"/>
        <v>0</v>
      </c>
      <c r="I55" s="3">
        <f t="shared" si="310"/>
        <v>0</v>
      </c>
      <c r="J55" s="3">
        <f t="shared" si="310"/>
        <v>0</v>
      </c>
      <c r="K55" s="3">
        <f t="shared" si="310"/>
        <v>0</v>
      </c>
      <c r="L55" s="3">
        <f t="shared" si="310"/>
        <v>0</v>
      </c>
      <c r="M55" s="3">
        <f t="shared" si="310"/>
        <v>0</v>
      </c>
      <c r="N55" s="3">
        <f t="shared" ref="N55" si="311">N39-N51</f>
        <v>0</v>
      </c>
      <c r="O55" s="3">
        <f t="shared" si="310"/>
        <v>0</v>
      </c>
      <c r="P55" s="3">
        <f t="shared" si="310"/>
        <v>0</v>
      </c>
      <c r="Q55" s="3">
        <f t="shared" si="310"/>
        <v>0</v>
      </c>
      <c r="R55" s="3">
        <f t="shared" si="310"/>
        <v>0</v>
      </c>
      <c r="S55" s="3">
        <f t="shared" si="310"/>
        <v>0</v>
      </c>
      <c r="T55" s="3">
        <f t="shared" si="310"/>
        <v>0</v>
      </c>
      <c r="U55" s="3">
        <f t="shared" si="310"/>
        <v>0</v>
      </c>
      <c r="V55" s="3">
        <f t="shared" ref="V55:W55" si="312">V39-V51</f>
        <v>0</v>
      </c>
      <c r="W55" s="3">
        <f t="shared" si="312"/>
        <v>0</v>
      </c>
      <c r="X55" s="3">
        <f t="shared" ref="X55:Y55" si="313">X39-X51</f>
        <v>0</v>
      </c>
      <c r="Y55" s="3">
        <f t="shared" si="313"/>
        <v>0</v>
      </c>
      <c r="Z55" s="3">
        <f t="shared" ref="Z55:AB55" si="314">Z39-Z51</f>
        <v>0</v>
      </c>
      <c r="AA55" s="3">
        <f t="shared" ref="AA55" si="315">AA39-AA51</f>
        <v>0</v>
      </c>
      <c r="AB55" s="3">
        <f t="shared" si="314"/>
        <v>0</v>
      </c>
      <c r="AC55" s="3">
        <f t="shared" ref="AC55:AE55" si="316">AC39-AC51</f>
        <v>0</v>
      </c>
      <c r="AD55" s="3">
        <f t="shared" si="316"/>
        <v>0</v>
      </c>
      <c r="AE55" s="3">
        <f t="shared" si="316"/>
        <v>0</v>
      </c>
      <c r="AF55" s="3">
        <f t="shared" ref="AF55:AG55" si="317">AF39-AF51</f>
        <v>0</v>
      </c>
      <c r="AG55" s="3">
        <f t="shared" si="317"/>
        <v>0</v>
      </c>
      <c r="AH55" s="3">
        <f t="shared" ref="AH55:AI55" si="318">AH39-AH51</f>
        <v>0</v>
      </c>
      <c r="AI55" s="3">
        <f t="shared" si="318"/>
        <v>0</v>
      </c>
      <c r="AJ55" s="3">
        <f t="shared" ref="AJ55:AK55" si="319">AJ39-AJ51</f>
        <v>0</v>
      </c>
      <c r="AK55" s="3">
        <f t="shared" si="319"/>
        <v>0</v>
      </c>
      <c r="AL55" s="3">
        <f t="shared" ref="AL55:AM55" si="320">AL39-AL51</f>
        <v>0</v>
      </c>
      <c r="AM55" s="3">
        <f t="shared" si="320"/>
        <v>0</v>
      </c>
      <c r="AN55" s="3">
        <f t="shared" ref="AN55:AO55" si="321">AN39-AN51</f>
        <v>0</v>
      </c>
      <c r="AO55" s="3">
        <f t="shared" si="321"/>
        <v>0</v>
      </c>
      <c r="AP55" s="3">
        <f t="shared" ref="AP55:AQ55" si="322">AP39-AP51</f>
        <v>0</v>
      </c>
      <c r="AQ55" s="3">
        <f t="shared" si="322"/>
        <v>0</v>
      </c>
      <c r="AR55" s="3">
        <f t="shared" ref="AR55:AS55" si="323">AR39-AR51</f>
        <v>0</v>
      </c>
      <c r="AS55" s="3">
        <f t="shared" si="323"/>
        <v>0</v>
      </c>
      <c r="AT55" s="3">
        <f t="shared" ref="AT55:AU55" si="324">AT39-AT51</f>
        <v>0</v>
      </c>
      <c r="AU55" s="3">
        <f t="shared" si="324"/>
        <v>0</v>
      </c>
      <c r="AV55" s="3">
        <f t="shared" ref="AV55:AW55" si="325">AV39-AV51</f>
        <v>0</v>
      </c>
      <c r="AW55" s="3">
        <f t="shared" si="325"/>
        <v>0</v>
      </c>
      <c r="AX55" s="3">
        <f t="shared" ref="AX55:AY55" si="326">AX39-AX51</f>
        <v>0</v>
      </c>
      <c r="AY55" s="3">
        <f t="shared" si="326"/>
        <v>0</v>
      </c>
      <c r="AZ55" s="3">
        <f t="shared" ref="AZ55:BA55" si="327">AZ39-AZ51</f>
        <v>0</v>
      </c>
      <c r="BA55" s="3">
        <f t="shared" si="327"/>
        <v>0</v>
      </c>
      <c r="BB55" s="3">
        <f t="shared" ref="BB55:BC55" si="328">BB39-BB51</f>
        <v>0</v>
      </c>
      <c r="BC55" s="3">
        <f t="shared" si="328"/>
        <v>0</v>
      </c>
      <c r="BD55" s="3">
        <f t="shared" ref="BD55:BE55" si="329">BD39-BD51</f>
        <v>0</v>
      </c>
      <c r="BE55" s="3">
        <f t="shared" si="329"/>
        <v>0</v>
      </c>
      <c r="BF55" s="3">
        <f t="shared" ref="BF55:BG55" si="330">BF39-BF51</f>
        <v>0</v>
      </c>
      <c r="BG55" s="3">
        <f t="shared" si="330"/>
        <v>0</v>
      </c>
      <c r="BH55" s="3">
        <f t="shared" ref="BH55:BI55" si="331">BH39-BH51</f>
        <v>0</v>
      </c>
      <c r="BI55" s="3">
        <f t="shared" si="331"/>
        <v>0</v>
      </c>
      <c r="BJ55" s="3">
        <f t="shared" ref="BJ55:BK55" si="332">BJ39-BJ51</f>
        <v>0</v>
      </c>
      <c r="BK55" s="3">
        <f t="shared" si="332"/>
        <v>0</v>
      </c>
      <c r="BL55" s="3">
        <f t="shared" ref="BL55:BM55" si="333">BL39-BL51</f>
        <v>0</v>
      </c>
      <c r="BM55" s="3">
        <f t="shared" si="333"/>
        <v>0</v>
      </c>
      <c r="BN55" s="3">
        <f t="shared" ref="BN55:BO55" si="334">BN39-BN51</f>
        <v>0</v>
      </c>
      <c r="BO55" s="3">
        <f t="shared" si="334"/>
        <v>0</v>
      </c>
      <c r="BP55" s="3">
        <f t="shared" ref="BP55:BQ55" si="335">BP39-BP51</f>
        <v>0</v>
      </c>
      <c r="BQ55" s="3">
        <f t="shared" si="335"/>
        <v>0</v>
      </c>
      <c r="BR55" s="3">
        <f t="shared" ref="BR55:BS55" si="336">BR39-BR51</f>
        <v>0</v>
      </c>
      <c r="BS55" s="3">
        <f t="shared" si="336"/>
        <v>0</v>
      </c>
      <c r="BT55" s="3">
        <f t="shared" ref="BT55" si="337">BT39-BT51</f>
        <v>0</v>
      </c>
    </row>
    <row r="56" spans="2:72" x14ac:dyDescent="0.35">
      <c r="B56" s="3">
        <f t="shared" ref="B56:R57" si="338">B40-B52</f>
        <v>0</v>
      </c>
      <c r="C56" s="3">
        <f t="shared" si="338"/>
        <v>0</v>
      </c>
      <c r="D56" s="3">
        <f t="shared" si="338"/>
        <v>0</v>
      </c>
      <c r="E56" s="3">
        <f t="shared" si="338"/>
        <v>0</v>
      </c>
      <c r="F56" s="3">
        <f t="shared" si="338"/>
        <v>0</v>
      </c>
      <c r="G56" s="3">
        <f t="shared" si="338"/>
        <v>0</v>
      </c>
      <c r="H56" s="3">
        <f t="shared" si="338"/>
        <v>0</v>
      </c>
      <c r="I56" s="3">
        <f t="shared" si="338"/>
        <v>0</v>
      </c>
      <c r="J56" s="3">
        <f t="shared" si="338"/>
        <v>0</v>
      </c>
      <c r="K56" s="3">
        <f t="shared" si="338"/>
        <v>0</v>
      </c>
      <c r="L56" s="3">
        <f t="shared" si="338"/>
        <v>0</v>
      </c>
      <c r="M56" s="3">
        <f t="shared" si="338"/>
        <v>0</v>
      </c>
      <c r="N56" s="3">
        <f t="shared" ref="N56" si="339">N40-N52</f>
        <v>0</v>
      </c>
      <c r="O56" s="3">
        <f t="shared" si="338"/>
        <v>0</v>
      </c>
      <c r="P56" s="3">
        <f t="shared" si="338"/>
        <v>0</v>
      </c>
      <c r="Q56" s="3">
        <f t="shared" si="338"/>
        <v>0</v>
      </c>
      <c r="R56" s="3">
        <f t="shared" si="338"/>
        <v>0</v>
      </c>
      <c r="S56" s="3">
        <f t="shared" si="310"/>
        <v>0</v>
      </c>
      <c r="T56" s="3">
        <f t="shared" si="310"/>
        <v>0</v>
      </c>
      <c r="U56" s="3">
        <f t="shared" si="310"/>
        <v>0</v>
      </c>
      <c r="V56" s="3">
        <f t="shared" ref="V56:W56" si="340">V40-V52</f>
        <v>0</v>
      </c>
      <c r="W56" s="3">
        <f t="shared" si="340"/>
        <v>0</v>
      </c>
      <c r="X56" s="3">
        <f t="shared" ref="X56:Y56" si="341">X40-X52</f>
        <v>0</v>
      </c>
      <c r="Y56" s="3">
        <f t="shared" si="341"/>
        <v>0</v>
      </c>
      <c r="Z56" s="3">
        <f t="shared" ref="Z56:AB56" si="342">Z40-Z52</f>
        <v>0</v>
      </c>
      <c r="AA56" s="3">
        <f t="shared" ref="AA56" si="343">AA40-AA52</f>
        <v>0</v>
      </c>
      <c r="AB56" s="3">
        <f t="shared" si="342"/>
        <v>0</v>
      </c>
      <c r="AC56" s="3">
        <f t="shared" ref="AC56:AE56" si="344">AC40-AC52</f>
        <v>0</v>
      </c>
      <c r="AD56" s="3">
        <f t="shared" si="344"/>
        <v>0</v>
      </c>
      <c r="AE56" s="3">
        <f t="shared" si="344"/>
        <v>0</v>
      </c>
      <c r="AF56" s="3">
        <f t="shared" ref="AF56:AG56" si="345">AF40-AF52</f>
        <v>0</v>
      </c>
      <c r="AG56" s="3">
        <f t="shared" si="345"/>
        <v>0</v>
      </c>
      <c r="AH56" s="3">
        <f t="shared" ref="AH56:AI56" si="346">AH40-AH52</f>
        <v>0</v>
      </c>
      <c r="AI56" s="3">
        <f t="shared" si="346"/>
        <v>0</v>
      </c>
      <c r="AJ56" s="3">
        <f t="shared" ref="AJ56:AK56" si="347">AJ40-AJ52</f>
        <v>0</v>
      </c>
      <c r="AK56" s="3">
        <f t="shared" si="347"/>
        <v>0</v>
      </c>
      <c r="AL56" s="3">
        <f t="shared" ref="AL56:AM56" si="348">AL40-AL52</f>
        <v>0</v>
      </c>
      <c r="AM56" s="3">
        <f t="shared" si="348"/>
        <v>0</v>
      </c>
      <c r="AN56" s="3">
        <f t="shared" ref="AN56:AO56" si="349">AN40-AN52</f>
        <v>0</v>
      </c>
      <c r="AO56" s="3">
        <f t="shared" si="349"/>
        <v>0</v>
      </c>
      <c r="AP56" s="3">
        <f t="shared" ref="AP56:AQ56" si="350">AP40-AP52</f>
        <v>0</v>
      </c>
      <c r="AQ56" s="3">
        <f t="shared" si="350"/>
        <v>0</v>
      </c>
      <c r="AR56" s="3">
        <f t="shared" ref="AR56:AS56" si="351">AR40-AR52</f>
        <v>0</v>
      </c>
      <c r="AS56" s="3">
        <f t="shared" si="351"/>
        <v>0</v>
      </c>
      <c r="AT56" s="3">
        <f t="shared" ref="AT56:AU56" si="352">AT40-AT52</f>
        <v>0</v>
      </c>
      <c r="AU56" s="3">
        <f t="shared" si="352"/>
        <v>0</v>
      </c>
      <c r="AV56" s="3">
        <f t="shared" ref="AV56:AW56" si="353">AV40-AV52</f>
        <v>0</v>
      </c>
      <c r="AW56" s="3">
        <f t="shared" si="353"/>
        <v>0</v>
      </c>
      <c r="AX56" s="3">
        <f t="shared" ref="AX56:AY56" si="354">AX40-AX52</f>
        <v>0</v>
      </c>
      <c r="AY56" s="3">
        <f t="shared" si="354"/>
        <v>0</v>
      </c>
      <c r="AZ56" s="3">
        <f t="shared" ref="AZ56:BA56" si="355">AZ40-AZ52</f>
        <v>0</v>
      </c>
      <c r="BA56" s="3">
        <f t="shared" si="355"/>
        <v>0</v>
      </c>
      <c r="BB56" s="3">
        <f t="shared" ref="BB56:BC56" si="356">BB40-BB52</f>
        <v>0</v>
      </c>
      <c r="BC56" s="3">
        <f t="shared" si="356"/>
        <v>0</v>
      </c>
      <c r="BD56" s="3">
        <f t="shared" ref="BD56:BE56" si="357">BD40-BD52</f>
        <v>0</v>
      </c>
      <c r="BE56" s="3">
        <f t="shared" si="357"/>
        <v>0</v>
      </c>
      <c r="BF56" s="3">
        <f t="shared" ref="BF56:BG56" si="358">BF40-BF52</f>
        <v>0</v>
      </c>
      <c r="BG56" s="3">
        <f t="shared" si="358"/>
        <v>0</v>
      </c>
      <c r="BH56" s="3">
        <f t="shared" ref="BH56:BI56" si="359">BH40-BH52</f>
        <v>0</v>
      </c>
      <c r="BI56" s="3">
        <f t="shared" si="359"/>
        <v>0</v>
      </c>
      <c r="BJ56" s="3">
        <f t="shared" ref="BJ56:BK56" si="360">BJ40-BJ52</f>
        <v>0</v>
      </c>
      <c r="BK56" s="3">
        <f t="shared" si="360"/>
        <v>0</v>
      </c>
      <c r="BL56" s="3">
        <f t="shared" ref="BL56:BM56" si="361">BL40-BL52</f>
        <v>0</v>
      </c>
      <c r="BM56" s="3">
        <f t="shared" si="361"/>
        <v>0</v>
      </c>
      <c r="BN56" s="3">
        <f t="shared" ref="BN56:BO56" si="362">BN40-BN52</f>
        <v>0</v>
      </c>
      <c r="BO56" s="3">
        <f t="shared" si="362"/>
        <v>0</v>
      </c>
      <c r="BP56" s="3">
        <f t="shared" ref="BP56:BQ56" si="363">BP40-BP52</f>
        <v>0</v>
      </c>
      <c r="BQ56" s="3">
        <f t="shared" si="363"/>
        <v>0</v>
      </c>
      <c r="BR56" s="3">
        <f t="shared" ref="BR56:BS56" si="364">BR40-BR52</f>
        <v>0</v>
      </c>
      <c r="BS56" s="3">
        <f t="shared" si="364"/>
        <v>0</v>
      </c>
      <c r="BT56" s="3">
        <f t="shared" ref="BT56" si="365">BT40-BT52</f>
        <v>0</v>
      </c>
    </row>
    <row r="57" spans="2:72" x14ac:dyDescent="0.35">
      <c r="B57" s="3">
        <f t="shared" si="338"/>
        <v>0</v>
      </c>
      <c r="C57" s="3">
        <f t="shared" si="310"/>
        <v>0</v>
      </c>
      <c r="D57" s="3">
        <f t="shared" si="310"/>
        <v>0</v>
      </c>
      <c r="E57" s="3">
        <f t="shared" si="310"/>
        <v>0</v>
      </c>
      <c r="F57" s="3">
        <f t="shared" si="310"/>
        <v>0</v>
      </c>
      <c r="G57" s="3">
        <f t="shared" si="310"/>
        <v>0</v>
      </c>
      <c r="H57" s="3">
        <f t="shared" si="310"/>
        <v>0</v>
      </c>
      <c r="I57" s="3">
        <f t="shared" si="310"/>
        <v>0</v>
      </c>
      <c r="J57" s="3">
        <f t="shared" si="310"/>
        <v>0</v>
      </c>
      <c r="K57" s="3">
        <f t="shared" si="310"/>
        <v>0</v>
      </c>
      <c r="L57" s="3">
        <f t="shared" si="310"/>
        <v>0</v>
      </c>
      <c r="M57" s="3">
        <f t="shared" si="310"/>
        <v>0</v>
      </c>
      <c r="N57" s="3">
        <f t="shared" ref="N57" si="366">N41-N53</f>
        <v>0</v>
      </c>
      <c r="O57" s="3">
        <f t="shared" si="310"/>
        <v>0</v>
      </c>
      <c r="P57" s="3">
        <f t="shared" si="310"/>
        <v>0</v>
      </c>
      <c r="Q57" s="3">
        <f t="shared" si="310"/>
        <v>0</v>
      </c>
      <c r="R57" s="3">
        <f t="shared" si="310"/>
        <v>0</v>
      </c>
      <c r="S57" s="3">
        <f t="shared" si="310"/>
        <v>0</v>
      </c>
      <c r="T57" s="3">
        <f t="shared" si="310"/>
        <v>0</v>
      </c>
      <c r="U57" s="3">
        <f t="shared" si="310"/>
        <v>0</v>
      </c>
      <c r="V57" s="3">
        <f t="shared" ref="V57:W57" si="367">V41-V53</f>
        <v>0</v>
      </c>
      <c r="W57" s="3">
        <f t="shared" si="367"/>
        <v>0</v>
      </c>
      <c r="X57" s="3">
        <f t="shared" ref="X57:Y57" si="368">X41-X53</f>
        <v>0</v>
      </c>
      <c r="Y57" s="3">
        <f t="shared" si="368"/>
        <v>0</v>
      </c>
      <c r="Z57" s="3">
        <f t="shared" ref="Z57:AB57" si="369">Z41-Z53</f>
        <v>0</v>
      </c>
      <c r="AA57" s="3">
        <f t="shared" ref="AA57" si="370">AA41-AA53</f>
        <v>0</v>
      </c>
      <c r="AB57" s="3">
        <f t="shared" si="369"/>
        <v>0</v>
      </c>
      <c r="AC57" s="3">
        <f t="shared" ref="AC57:AE57" si="371">AC41-AC53</f>
        <v>0</v>
      </c>
      <c r="AD57" s="3">
        <f t="shared" si="371"/>
        <v>0</v>
      </c>
      <c r="AE57" s="3">
        <f t="shared" si="371"/>
        <v>0</v>
      </c>
      <c r="AF57" s="3">
        <f t="shared" ref="AF57:AG57" si="372">AF41-AF53</f>
        <v>0</v>
      </c>
      <c r="AG57" s="3">
        <f t="shared" si="372"/>
        <v>0</v>
      </c>
      <c r="AH57" s="3">
        <f t="shared" ref="AH57:AI57" si="373">AH41-AH53</f>
        <v>0</v>
      </c>
      <c r="AI57" s="3">
        <f t="shared" si="373"/>
        <v>0</v>
      </c>
      <c r="AJ57" s="3">
        <f t="shared" ref="AJ57:AK57" si="374">AJ41-AJ53</f>
        <v>0</v>
      </c>
      <c r="AK57" s="3">
        <f t="shared" si="374"/>
        <v>0</v>
      </c>
      <c r="AL57" s="3">
        <f t="shared" ref="AL57:AM57" si="375">AL41-AL53</f>
        <v>0</v>
      </c>
      <c r="AM57" s="3">
        <f t="shared" si="375"/>
        <v>0</v>
      </c>
      <c r="AN57" s="3">
        <f t="shared" ref="AN57:AO57" si="376">AN41-AN53</f>
        <v>0</v>
      </c>
      <c r="AO57" s="3">
        <f t="shared" si="376"/>
        <v>0</v>
      </c>
      <c r="AP57" s="3">
        <f t="shared" ref="AP57:AQ57" si="377">AP41-AP53</f>
        <v>0</v>
      </c>
      <c r="AQ57" s="3">
        <f t="shared" si="377"/>
        <v>0</v>
      </c>
      <c r="AR57" s="3">
        <f t="shared" ref="AR57:AS57" si="378">AR41-AR53</f>
        <v>0</v>
      </c>
      <c r="AS57" s="3">
        <f t="shared" si="378"/>
        <v>0</v>
      </c>
      <c r="AT57" s="3">
        <f t="shared" ref="AT57" si="379">AT41-AT53</f>
        <v>0</v>
      </c>
      <c r="AU57" s="3">
        <f t="shared" ref="AU57:AZ57" si="380">AU41-AU53</f>
        <v>0</v>
      </c>
      <c r="AV57" s="3">
        <f t="shared" si="380"/>
        <v>0</v>
      </c>
      <c r="AW57" s="3">
        <f t="shared" si="380"/>
        <v>0</v>
      </c>
      <c r="AX57" s="3">
        <f t="shared" si="380"/>
        <v>0</v>
      </c>
      <c r="AY57" s="3">
        <f t="shared" si="380"/>
        <v>0</v>
      </c>
      <c r="AZ57" s="3">
        <f t="shared" si="380"/>
        <v>0</v>
      </c>
      <c r="BA57" s="3">
        <f t="shared" ref="BA57:BC57" si="381">BA41-BA53</f>
        <v>0</v>
      </c>
      <c r="BB57" s="3">
        <f t="shared" si="381"/>
        <v>0</v>
      </c>
      <c r="BC57" s="3">
        <f t="shared" si="381"/>
        <v>0</v>
      </c>
      <c r="BD57" s="3">
        <f t="shared" ref="BD57:BE57" si="382">BD41-BD53</f>
        <v>0</v>
      </c>
      <c r="BE57" s="3">
        <f t="shared" si="382"/>
        <v>0</v>
      </c>
      <c r="BF57" s="3">
        <f t="shared" ref="BF57:BG57" si="383">BF41-BF53</f>
        <v>0</v>
      </c>
      <c r="BG57" s="3">
        <f t="shared" si="383"/>
        <v>0</v>
      </c>
      <c r="BH57" s="3">
        <f t="shared" ref="BH57:BI57" si="384">BH41-BH53</f>
        <v>0</v>
      </c>
      <c r="BI57" s="3">
        <f t="shared" si="384"/>
        <v>0</v>
      </c>
      <c r="BJ57" s="3">
        <f t="shared" ref="BJ57:BK57" si="385">BJ41-BJ53</f>
        <v>0</v>
      </c>
      <c r="BK57" s="3">
        <f t="shared" si="385"/>
        <v>0</v>
      </c>
      <c r="BL57" s="3">
        <f t="shared" ref="BL57:BM57" si="386">BL41-BL53</f>
        <v>0</v>
      </c>
      <c r="BM57" s="3">
        <f t="shared" si="386"/>
        <v>0</v>
      </c>
      <c r="BN57" s="3">
        <f t="shared" ref="BN57:BO57" si="387">BN41-BN53</f>
        <v>26475.650000000012</v>
      </c>
      <c r="BO57" s="3">
        <f t="shared" si="387"/>
        <v>0</v>
      </c>
      <c r="BP57" s="3">
        <f t="shared" ref="BP57:BQ57" si="388">BP41-BP53</f>
        <v>0</v>
      </c>
      <c r="BQ57" s="3">
        <f t="shared" si="388"/>
        <v>0</v>
      </c>
      <c r="BR57" s="3">
        <f t="shared" ref="BR57:BS57" si="389">BR41-BR53</f>
        <v>0</v>
      </c>
      <c r="BS57" s="3">
        <f t="shared" si="389"/>
        <v>0</v>
      </c>
      <c r="BT57" s="3">
        <f t="shared" ref="BT57" si="390">BT41-BT53</f>
        <v>0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12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6" sqref="A6"/>
    </sheetView>
  </sheetViews>
  <sheetFormatPr defaultRowHeight="14.5" x14ac:dyDescent="0.35"/>
  <cols>
    <col min="1" max="1" width="13.7265625" customWidth="1"/>
    <col min="2" max="2" width="8.7265625" customWidth="1"/>
    <col min="3" max="3" width="35.81640625" bestFit="1" customWidth="1"/>
    <col min="4" max="4" width="10.7265625" customWidth="1"/>
  </cols>
  <sheetData>
    <row r="1" spans="1:7" x14ac:dyDescent="0.35">
      <c r="A1" s="7" t="s">
        <v>96</v>
      </c>
      <c r="B1" s="7" t="s">
        <v>98</v>
      </c>
      <c r="C1" s="7" t="s">
        <v>97</v>
      </c>
      <c r="D1" s="7" t="s">
        <v>92</v>
      </c>
      <c r="E1" s="7" t="s">
        <v>95</v>
      </c>
      <c r="F1" s="7" t="s">
        <v>93</v>
      </c>
      <c r="G1" s="7" t="s">
        <v>94</v>
      </c>
    </row>
    <row r="2" spans="1:7" x14ac:dyDescent="0.35">
      <c r="A2" s="8" t="s">
        <v>101</v>
      </c>
      <c r="B2" s="6" t="s">
        <v>100</v>
      </c>
      <c r="C2" t="s">
        <v>9</v>
      </c>
      <c r="D2" s="6">
        <v>1</v>
      </c>
      <c r="E2" s="6">
        <v>0</v>
      </c>
      <c r="F2" s="6">
        <v>0</v>
      </c>
      <c r="G2" s="6">
        <v>0</v>
      </c>
    </row>
    <row r="3" spans="1:7" x14ac:dyDescent="0.35">
      <c r="A3" s="8" t="s">
        <v>102</v>
      </c>
      <c r="B3" s="6" t="s">
        <v>100</v>
      </c>
      <c r="C3" t="s">
        <v>10</v>
      </c>
      <c r="D3" s="6">
        <v>1</v>
      </c>
      <c r="E3" s="6">
        <v>0</v>
      </c>
      <c r="F3" s="6">
        <v>0</v>
      </c>
      <c r="G3" s="6">
        <v>0</v>
      </c>
    </row>
    <row r="4" spans="1:7" x14ac:dyDescent="0.35">
      <c r="A4" s="8" t="s">
        <v>103</v>
      </c>
      <c r="B4" s="6" t="s">
        <v>100</v>
      </c>
      <c r="C4" t="s">
        <v>104</v>
      </c>
      <c r="D4" s="6">
        <v>0</v>
      </c>
      <c r="E4" s="6">
        <v>0</v>
      </c>
      <c r="F4" s="6">
        <v>0</v>
      </c>
      <c r="G4" s="6">
        <v>0</v>
      </c>
    </row>
    <row r="5" spans="1:7" x14ac:dyDescent="0.35">
      <c r="A5" s="8" t="s">
        <v>105</v>
      </c>
      <c r="B5" s="6" t="s">
        <v>100</v>
      </c>
      <c r="C5" t="s">
        <v>13</v>
      </c>
      <c r="D5" s="6">
        <v>1</v>
      </c>
      <c r="E5" s="6">
        <v>0</v>
      </c>
      <c r="F5" s="6">
        <v>0</v>
      </c>
      <c r="G5" s="6">
        <v>0</v>
      </c>
    </row>
    <row r="6" spans="1:7" x14ac:dyDescent="0.35">
      <c r="A6" s="8" t="s">
        <v>106</v>
      </c>
      <c r="B6" s="6" t="s">
        <v>100</v>
      </c>
      <c r="C6" t="s">
        <v>14</v>
      </c>
      <c r="D6" s="6">
        <v>1</v>
      </c>
      <c r="E6" s="6">
        <v>0</v>
      </c>
      <c r="F6" s="6">
        <v>0</v>
      </c>
      <c r="G6" s="6">
        <v>0</v>
      </c>
    </row>
    <row r="7" spans="1:7" x14ac:dyDescent="0.35">
      <c r="A7" s="8" t="s">
        <v>107</v>
      </c>
      <c r="B7" s="6" t="s">
        <v>100</v>
      </c>
      <c r="C7" t="s">
        <v>108</v>
      </c>
      <c r="D7" s="6">
        <v>1</v>
      </c>
      <c r="E7" s="6">
        <v>0</v>
      </c>
      <c r="F7" s="6">
        <v>0</v>
      </c>
      <c r="G7" s="6">
        <v>0</v>
      </c>
    </row>
    <row r="8" spans="1:7" x14ac:dyDescent="0.35">
      <c r="A8" s="8" t="s">
        <v>109</v>
      </c>
      <c r="B8" s="6" t="s">
        <v>100</v>
      </c>
      <c r="C8" t="s">
        <v>110</v>
      </c>
      <c r="D8" s="6">
        <v>1</v>
      </c>
      <c r="E8" s="6">
        <v>0</v>
      </c>
      <c r="F8" s="6">
        <v>0</v>
      </c>
      <c r="G8" s="6">
        <v>0</v>
      </c>
    </row>
    <row r="9" spans="1:7" x14ac:dyDescent="0.35">
      <c r="A9" s="8" t="s">
        <v>111</v>
      </c>
      <c r="B9" s="6" t="s">
        <v>100</v>
      </c>
      <c r="C9" t="s">
        <v>15</v>
      </c>
      <c r="D9" s="6">
        <v>1</v>
      </c>
      <c r="E9" s="6">
        <v>0</v>
      </c>
      <c r="F9" s="6">
        <v>0</v>
      </c>
      <c r="G9" s="6">
        <v>0</v>
      </c>
    </row>
    <row r="10" spans="1:7" x14ac:dyDescent="0.35">
      <c r="A10" s="8" t="s">
        <v>112</v>
      </c>
      <c r="B10" s="6" t="s">
        <v>100</v>
      </c>
      <c r="C10" t="s">
        <v>113</v>
      </c>
      <c r="D10" s="6">
        <v>1</v>
      </c>
      <c r="E10" s="6">
        <v>0</v>
      </c>
      <c r="F10" s="6">
        <v>0</v>
      </c>
      <c r="G10" s="6">
        <v>0</v>
      </c>
    </row>
    <row r="11" spans="1:7" x14ac:dyDescent="0.35">
      <c r="A11" s="8" t="s">
        <v>114</v>
      </c>
      <c r="B11" s="6" t="s">
        <v>100</v>
      </c>
      <c r="C11" t="s">
        <v>17</v>
      </c>
      <c r="D11" s="6">
        <v>1</v>
      </c>
      <c r="E11" s="6">
        <v>0</v>
      </c>
      <c r="F11" s="6">
        <v>0</v>
      </c>
      <c r="G11" s="6">
        <v>0</v>
      </c>
    </row>
    <row r="12" spans="1:7" x14ac:dyDescent="0.35">
      <c r="A12" s="8" t="s">
        <v>115</v>
      </c>
      <c r="B12" s="6" t="s">
        <v>100</v>
      </c>
      <c r="C12" t="s">
        <v>16</v>
      </c>
      <c r="D12" s="6">
        <v>1</v>
      </c>
      <c r="E12" s="6">
        <v>0</v>
      </c>
      <c r="F12" s="6">
        <v>0</v>
      </c>
      <c r="G12" s="6">
        <v>0</v>
      </c>
    </row>
    <row r="13" spans="1:7" x14ac:dyDescent="0.35">
      <c r="A13" s="8" t="s">
        <v>116</v>
      </c>
      <c r="B13" s="6" t="s">
        <v>100</v>
      </c>
      <c r="C13" t="s">
        <v>18</v>
      </c>
      <c r="D13" s="6">
        <v>1</v>
      </c>
      <c r="E13" s="6">
        <v>0</v>
      </c>
      <c r="F13" s="6">
        <v>0</v>
      </c>
      <c r="G13" s="6">
        <v>0</v>
      </c>
    </row>
    <row r="14" spans="1:7" x14ac:dyDescent="0.35">
      <c r="A14" s="8" t="s">
        <v>117</v>
      </c>
      <c r="B14" s="6" t="s">
        <v>100</v>
      </c>
      <c r="C14" t="s">
        <v>118</v>
      </c>
      <c r="D14" s="6">
        <v>0</v>
      </c>
      <c r="E14" s="6">
        <v>0</v>
      </c>
      <c r="F14" s="6">
        <v>0</v>
      </c>
      <c r="G14" s="6">
        <v>0</v>
      </c>
    </row>
    <row r="15" spans="1:7" x14ac:dyDescent="0.35">
      <c r="A15" s="8" t="s">
        <v>119</v>
      </c>
      <c r="B15" s="6" t="s">
        <v>100</v>
      </c>
      <c r="C15" t="s">
        <v>12</v>
      </c>
      <c r="D15" s="6">
        <v>0</v>
      </c>
      <c r="E15" s="6">
        <v>0</v>
      </c>
      <c r="F15" s="6">
        <v>0</v>
      </c>
      <c r="G15" s="6">
        <v>0</v>
      </c>
    </row>
    <row r="16" spans="1:7" x14ac:dyDescent="0.35">
      <c r="A16" s="8" t="s">
        <v>120</v>
      </c>
      <c r="B16" s="6" t="s">
        <v>100</v>
      </c>
      <c r="C16" t="s">
        <v>121</v>
      </c>
      <c r="D16" s="6">
        <v>0</v>
      </c>
      <c r="E16" s="6">
        <v>0</v>
      </c>
      <c r="F16" s="6">
        <v>0</v>
      </c>
      <c r="G16" s="6">
        <v>0</v>
      </c>
    </row>
    <row r="17" spans="1:7" x14ac:dyDescent="0.35">
      <c r="A17" s="8" t="s">
        <v>122</v>
      </c>
      <c r="B17" s="6" t="s">
        <v>100</v>
      </c>
      <c r="C17" t="s">
        <v>123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35">
      <c r="A18" s="8" t="s">
        <v>124</v>
      </c>
      <c r="B18" s="6" t="s">
        <v>100</v>
      </c>
      <c r="C18" t="s">
        <v>125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35">
      <c r="A19" s="8" t="s">
        <v>126</v>
      </c>
      <c r="B19" s="6" t="s">
        <v>100</v>
      </c>
      <c r="C19" t="s">
        <v>127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35">
      <c r="A20" s="8" t="s">
        <v>128</v>
      </c>
      <c r="B20" s="6" t="s">
        <v>100</v>
      </c>
      <c r="C20" t="s">
        <v>19</v>
      </c>
      <c r="D20" s="6">
        <v>0</v>
      </c>
      <c r="E20" s="6">
        <v>0</v>
      </c>
      <c r="F20" s="6">
        <v>0</v>
      </c>
      <c r="G20" s="6">
        <v>1</v>
      </c>
    </row>
    <row r="21" spans="1:7" x14ac:dyDescent="0.35">
      <c r="A21" s="8" t="s">
        <v>129</v>
      </c>
      <c r="B21" s="6" t="s">
        <v>100</v>
      </c>
      <c r="C21" t="s">
        <v>130</v>
      </c>
      <c r="D21" s="6">
        <v>1</v>
      </c>
      <c r="E21" s="6">
        <v>0</v>
      </c>
      <c r="F21" s="6">
        <v>0</v>
      </c>
      <c r="G21" s="6">
        <v>0</v>
      </c>
    </row>
    <row r="22" spans="1:7" x14ac:dyDescent="0.35">
      <c r="A22" s="8" t="s">
        <v>131</v>
      </c>
      <c r="B22" s="6" t="s">
        <v>100</v>
      </c>
      <c r="C22" t="s">
        <v>16</v>
      </c>
      <c r="D22" s="6">
        <v>1</v>
      </c>
      <c r="E22" s="6">
        <v>0</v>
      </c>
      <c r="F22" s="6">
        <v>0</v>
      </c>
      <c r="G22" s="6">
        <v>0</v>
      </c>
    </row>
    <row r="23" spans="1:7" x14ac:dyDescent="0.35">
      <c r="A23" s="8" t="s">
        <v>132</v>
      </c>
      <c r="B23" s="6" t="s">
        <v>100</v>
      </c>
      <c r="C23" t="s">
        <v>20</v>
      </c>
      <c r="D23" s="6">
        <v>0</v>
      </c>
      <c r="E23" s="6">
        <v>0</v>
      </c>
      <c r="F23" s="6">
        <v>1</v>
      </c>
      <c r="G23" s="6">
        <v>0</v>
      </c>
    </row>
    <row r="24" spans="1:7" x14ac:dyDescent="0.35">
      <c r="A24" s="8" t="s">
        <v>133</v>
      </c>
      <c r="B24" s="6" t="s">
        <v>100</v>
      </c>
      <c r="C24" t="s">
        <v>21</v>
      </c>
      <c r="D24" s="6">
        <v>0</v>
      </c>
      <c r="E24" s="6">
        <v>0</v>
      </c>
      <c r="F24" s="6">
        <v>1</v>
      </c>
      <c r="G24" s="6">
        <v>0</v>
      </c>
    </row>
    <row r="25" spans="1:7" x14ac:dyDescent="0.35">
      <c r="A25" s="8" t="s">
        <v>134</v>
      </c>
      <c r="B25" s="6" t="s">
        <v>100</v>
      </c>
      <c r="C25" t="s">
        <v>22</v>
      </c>
      <c r="D25" s="6">
        <v>0</v>
      </c>
      <c r="E25" s="6">
        <v>0</v>
      </c>
      <c r="F25" s="6">
        <v>1</v>
      </c>
      <c r="G25" s="6">
        <v>0</v>
      </c>
    </row>
    <row r="26" spans="1:7" x14ac:dyDescent="0.35">
      <c r="A26" s="8" t="s">
        <v>135</v>
      </c>
      <c r="B26" s="6" t="s">
        <v>100</v>
      </c>
      <c r="C26" t="s">
        <v>23</v>
      </c>
      <c r="D26" s="6">
        <v>0</v>
      </c>
      <c r="E26" s="6">
        <v>0</v>
      </c>
      <c r="F26" s="6">
        <v>1</v>
      </c>
      <c r="G26" s="6">
        <v>0</v>
      </c>
    </row>
    <row r="27" spans="1:7" x14ac:dyDescent="0.35">
      <c r="A27" s="8" t="s">
        <v>136</v>
      </c>
      <c r="B27" s="6" t="s">
        <v>100</v>
      </c>
      <c r="C27" t="s">
        <v>24</v>
      </c>
      <c r="D27" s="6">
        <v>0</v>
      </c>
      <c r="E27" s="6">
        <v>0</v>
      </c>
      <c r="F27" s="6">
        <v>1</v>
      </c>
      <c r="G27" s="6">
        <v>0</v>
      </c>
    </row>
    <row r="28" spans="1:7" x14ac:dyDescent="0.35">
      <c r="A28" s="8" t="s">
        <v>137</v>
      </c>
      <c r="B28" s="6" t="s">
        <v>100</v>
      </c>
      <c r="C28" t="s">
        <v>138</v>
      </c>
      <c r="D28" s="6">
        <v>0</v>
      </c>
      <c r="E28" s="6">
        <v>0</v>
      </c>
      <c r="F28" s="6">
        <v>1</v>
      </c>
      <c r="G28" s="6">
        <v>0</v>
      </c>
    </row>
    <row r="29" spans="1:7" x14ac:dyDescent="0.35">
      <c r="A29" s="8" t="s">
        <v>139</v>
      </c>
      <c r="B29" s="6" t="s">
        <v>100</v>
      </c>
      <c r="C29" t="s">
        <v>25</v>
      </c>
      <c r="D29" s="6">
        <v>0</v>
      </c>
      <c r="E29" s="6">
        <v>0</v>
      </c>
      <c r="F29" s="6">
        <v>1</v>
      </c>
      <c r="G29" s="6">
        <v>0</v>
      </c>
    </row>
    <row r="30" spans="1:7" x14ac:dyDescent="0.35">
      <c r="A30" s="8" t="s">
        <v>140</v>
      </c>
      <c r="B30" s="6" t="s">
        <v>100</v>
      </c>
      <c r="C30" t="s">
        <v>26</v>
      </c>
      <c r="D30" s="6">
        <v>0</v>
      </c>
      <c r="E30" s="6">
        <v>0</v>
      </c>
      <c r="F30" s="6">
        <v>1</v>
      </c>
      <c r="G30" s="6">
        <v>0</v>
      </c>
    </row>
    <row r="31" spans="1:7" x14ac:dyDescent="0.35">
      <c r="A31" s="8" t="s">
        <v>141</v>
      </c>
      <c r="B31" s="6" t="s">
        <v>100</v>
      </c>
      <c r="C31" t="s">
        <v>27</v>
      </c>
      <c r="D31" s="6">
        <v>1</v>
      </c>
      <c r="E31" s="6">
        <v>0</v>
      </c>
      <c r="F31" s="6">
        <v>0</v>
      </c>
      <c r="G31" s="6">
        <v>0</v>
      </c>
    </row>
    <row r="32" spans="1:7" x14ac:dyDescent="0.35">
      <c r="A32" s="8" t="s">
        <v>142</v>
      </c>
      <c r="B32" s="6" t="s">
        <v>100</v>
      </c>
      <c r="C32" t="s">
        <v>28</v>
      </c>
      <c r="D32" s="6">
        <v>1</v>
      </c>
      <c r="E32" s="6">
        <v>0</v>
      </c>
      <c r="F32" s="6">
        <v>0</v>
      </c>
      <c r="G32" s="6">
        <v>0</v>
      </c>
    </row>
    <row r="33" spans="1:7" x14ac:dyDescent="0.35">
      <c r="A33" s="8" t="s">
        <v>143</v>
      </c>
      <c r="B33" s="6" t="s">
        <v>100</v>
      </c>
      <c r="C33" t="s">
        <v>144</v>
      </c>
      <c r="D33" s="6">
        <v>1</v>
      </c>
      <c r="E33" s="6">
        <v>0</v>
      </c>
      <c r="F33" s="6">
        <v>0</v>
      </c>
      <c r="G33" s="6">
        <v>0</v>
      </c>
    </row>
    <row r="34" spans="1:7" x14ac:dyDescent="0.35">
      <c r="A34" s="8" t="s">
        <v>145</v>
      </c>
      <c r="B34" s="6" t="s">
        <v>100</v>
      </c>
      <c r="C34" t="s">
        <v>29</v>
      </c>
      <c r="D34" s="6">
        <v>1</v>
      </c>
      <c r="E34" s="6">
        <v>0</v>
      </c>
      <c r="F34" s="6">
        <v>0</v>
      </c>
      <c r="G34" s="6">
        <v>0</v>
      </c>
    </row>
    <row r="35" spans="1:7" x14ac:dyDescent="0.35">
      <c r="A35" s="8" t="s">
        <v>146</v>
      </c>
      <c r="B35" s="6" t="s">
        <v>100</v>
      </c>
      <c r="C35" t="s">
        <v>30</v>
      </c>
      <c r="D35" s="6">
        <v>0</v>
      </c>
      <c r="E35" s="6">
        <v>0</v>
      </c>
      <c r="F35" s="6">
        <v>0</v>
      </c>
      <c r="G35" s="6">
        <v>1</v>
      </c>
    </row>
    <row r="36" spans="1:7" x14ac:dyDescent="0.35">
      <c r="A36" s="8" t="s">
        <v>147</v>
      </c>
      <c r="B36" s="6" t="s">
        <v>100</v>
      </c>
      <c r="C36" t="s">
        <v>148</v>
      </c>
      <c r="D36" s="6">
        <v>0</v>
      </c>
      <c r="E36" s="6">
        <v>1</v>
      </c>
      <c r="F36" s="6">
        <v>0</v>
      </c>
      <c r="G36" s="6">
        <v>0</v>
      </c>
    </row>
    <row r="37" spans="1:7" x14ac:dyDescent="0.35">
      <c r="A37" s="8" t="s">
        <v>149</v>
      </c>
      <c r="B37" s="6" t="s">
        <v>100</v>
      </c>
      <c r="C37" t="s">
        <v>31</v>
      </c>
      <c r="D37" s="6">
        <v>0</v>
      </c>
      <c r="E37" s="6">
        <v>1</v>
      </c>
      <c r="F37" s="6">
        <v>0</v>
      </c>
      <c r="G37" s="6">
        <v>0</v>
      </c>
    </row>
    <row r="38" spans="1:7" x14ac:dyDescent="0.35">
      <c r="A38" s="8" t="s">
        <v>150</v>
      </c>
      <c r="B38" s="6" t="s">
        <v>100</v>
      </c>
      <c r="C38" t="s">
        <v>32</v>
      </c>
      <c r="D38" s="6">
        <v>0</v>
      </c>
      <c r="E38" s="6">
        <v>1</v>
      </c>
      <c r="F38" s="6">
        <v>0</v>
      </c>
      <c r="G38" s="6">
        <v>0</v>
      </c>
    </row>
    <row r="39" spans="1:7" x14ac:dyDescent="0.35">
      <c r="A39" s="8" t="s">
        <v>151</v>
      </c>
      <c r="B39" s="6" t="s">
        <v>100</v>
      </c>
      <c r="C39" t="s">
        <v>33</v>
      </c>
      <c r="D39" s="6">
        <v>0</v>
      </c>
      <c r="E39" s="6">
        <v>1</v>
      </c>
      <c r="F39" s="6">
        <v>0</v>
      </c>
      <c r="G39" s="6">
        <v>0</v>
      </c>
    </row>
    <row r="40" spans="1:7" x14ac:dyDescent="0.35">
      <c r="A40" s="8" t="s">
        <v>152</v>
      </c>
      <c r="B40" s="6" t="s">
        <v>100</v>
      </c>
      <c r="C40" t="s">
        <v>34</v>
      </c>
      <c r="D40" s="6">
        <v>0</v>
      </c>
      <c r="E40" s="6">
        <v>1</v>
      </c>
      <c r="F40" s="6">
        <v>0</v>
      </c>
      <c r="G40" s="6">
        <v>0</v>
      </c>
    </row>
    <row r="41" spans="1:7" x14ac:dyDescent="0.35">
      <c r="A41" s="8" t="s">
        <v>153</v>
      </c>
      <c r="B41" s="6" t="s">
        <v>100</v>
      </c>
      <c r="C41" t="s">
        <v>35</v>
      </c>
      <c r="D41" s="6">
        <v>0</v>
      </c>
      <c r="E41" s="6">
        <v>1</v>
      </c>
      <c r="F41" s="6">
        <v>0</v>
      </c>
      <c r="G41" s="6">
        <v>0</v>
      </c>
    </row>
    <row r="42" spans="1:7" x14ac:dyDescent="0.35">
      <c r="A42" s="8" t="s">
        <v>154</v>
      </c>
      <c r="B42" s="6" t="s">
        <v>100</v>
      </c>
      <c r="C42" t="s">
        <v>36</v>
      </c>
      <c r="D42" s="6">
        <v>1</v>
      </c>
      <c r="E42" s="6">
        <v>0</v>
      </c>
      <c r="F42" s="6">
        <v>0</v>
      </c>
      <c r="G42" s="6">
        <v>0</v>
      </c>
    </row>
    <row r="43" spans="1:7" x14ac:dyDescent="0.35">
      <c r="A43" s="8" t="s">
        <v>155</v>
      </c>
      <c r="B43" s="6" t="s">
        <v>100</v>
      </c>
      <c r="C43" t="s">
        <v>37</v>
      </c>
      <c r="D43" s="6">
        <v>0</v>
      </c>
      <c r="E43" s="6">
        <v>0</v>
      </c>
      <c r="F43" s="6">
        <v>0</v>
      </c>
      <c r="G43" s="6">
        <v>1</v>
      </c>
    </row>
    <row r="44" spans="1:7" x14ac:dyDescent="0.35">
      <c r="A44" s="8" t="s">
        <v>156</v>
      </c>
      <c r="B44" s="6" t="s">
        <v>100</v>
      </c>
      <c r="C44" t="s">
        <v>38</v>
      </c>
      <c r="D44" s="6">
        <v>0</v>
      </c>
      <c r="E44" s="6">
        <v>0</v>
      </c>
      <c r="F44" s="6">
        <v>0</v>
      </c>
      <c r="G44" s="6">
        <v>1</v>
      </c>
    </row>
    <row r="45" spans="1:7" x14ac:dyDescent="0.35">
      <c r="A45" s="8" t="s">
        <v>157</v>
      </c>
      <c r="B45" s="6" t="s">
        <v>100</v>
      </c>
      <c r="C45" t="s">
        <v>39</v>
      </c>
      <c r="D45" s="6">
        <v>0</v>
      </c>
      <c r="E45" s="6">
        <v>0</v>
      </c>
      <c r="F45" s="6">
        <v>0</v>
      </c>
      <c r="G45" s="6">
        <v>1</v>
      </c>
    </row>
    <row r="46" spans="1:7" x14ac:dyDescent="0.35">
      <c r="A46" s="8" t="s">
        <v>158</v>
      </c>
      <c r="B46" s="6" t="s">
        <v>100</v>
      </c>
      <c r="C46" t="s">
        <v>40</v>
      </c>
      <c r="D46" s="6">
        <v>0</v>
      </c>
      <c r="E46" s="6">
        <v>0</v>
      </c>
      <c r="F46" s="6">
        <v>0</v>
      </c>
      <c r="G46" s="6">
        <v>1</v>
      </c>
    </row>
    <row r="47" spans="1:7" x14ac:dyDescent="0.35">
      <c r="A47" s="8" t="s">
        <v>159</v>
      </c>
      <c r="B47" s="6" t="s">
        <v>100</v>
      </c>
      <c r="C47" t="s">
        <v>41</v>
      </c>
      <c r="D47" s="6">
        <v>0</v>
      </c>
      <c r="E47" s="6">
        <v>0</v>
      </c>
      <c r="F47" s="6">
        <v>0</v>
      </c>
      <c r="G47" s="6">
        <v>1</v>
      </c>
    </row>
    <row r="48" spans="1:7" x14ac:dyDescent="0.35">
      <c r="A48" s="8" t="s">
        <v>160</v>
      </c>
      <c r="B48" s="6" t="s">
        <v>100</v>
      </c>
      <c r="C48" t="s">
        <v>161</v>
      </c>
      <c r="D48" s="6">
        <v>1</v>
      </c>
      <c r="E48" s="6">
        <v>0</v>
      </c>
      <c r="F48" s="6">
        <v>0</v>
      </c>
      <c r="G48" s="6">
        <v>0</v>
      </c>
    </row>
    <row r="49" spans="1:7" x14ac:dyDescent="0.35">
      <c r="A49" s="8" t="s">
        <v>162</v>
      </c>
      <c r="B49" s="6" t="s">
        <v>100</v>
      </c>
      <c r="C49" t="s">
        <v>42</v>
      </c>
      <c r="D49" s="6">
        <v>0</v>
      </c>
      <c r="E49" s="6">
        <v>1</v>
      </c>
      <c r="F49" s="6">
        <v>0</v>
      </c>
      <c r="G49" s="6">
        <v>0</v>
      </c>
    </row>
    <row r="50" spans="1:7" x14ac:dyDescent="0.35">
      <c r="A50" s="8" t="s">
        <v>163</v>
      </c>
      <c r="B50" s="6" t="s">
        <v>100</v>
      </c>
      <c r="C50" t="s">
        <v>43</v>
      </c>
      <c r="D50" s="6">
        <v>0</v>
      </c>
      <c r="E50" s="6">
        <v>1</v>
      </c>
      <c r="F50" s="6">
        <v>0</v>
      </c>
      <c r="G50" s="6">
        <v>0</v>
      </c>
    </row>
    <row r="51" spans="1:7" x14ac:dyDescent="0.35">
      <c r="A51" s="8" t="s">
        <v>164</v>
      </c>
      <c r="B51" s="6" t="s">
        <v>100</v>
      </c>
      <c r="C51" t="s">
        <v>44</v>
      </c>
      <c r="D51" s="6">
        <v>0</v>
      </c>
      <c r="E51" s="6">
        <v>1</v>
      </c>
      <c r="F51" s="6">
        <v>0</v>
      </c>
      <c r="G51" s="6">
        <v>0</v>
      </c>
    </row>
    <row r="52" spans="1:7" x14ac:dyDescent="0.35">
      <c r="A52" s="8" t="s">
        <v>165</v>
      </c>
      <c r="B52" s="6" t="s">
        <v>100</v>
      </c>
      <c r="C52" t="s">
        <v>45</v>
      </c>
      <c r="D52" s="6">
        <v>0</v>
      </c>
      <c r="E52" s="6">
        <v>1</v>
      </c>
      <c r="F52" s="6">
        <v>0</v>
      </c>
      <c r="G52" s="6">
        <v>0</v>
      </c>
    </row>
    <row r="53" spans="1:7" x14ac:dyDescent="0.35">
      <c r="A53" s="8" t="s">
        <v>166</v>
      </c>
      <c r="B53" s="6" t="s">
        <v>100</v>
      </c>
      <c r="C53" t="s">
        <v>46</v>
      </c>
      <c r="D53" s="6">
        <v>0</v>
      </c>
      <c r="E53" s="6">
        <v>1</v>
      </c>
      <c r="F53" s="6">
        <v>0</v>
      </c>
      <c r="G53" s="6">
        <v>0</v>
      </c>
    </row>
    <row r="54" spans="1:7" x14ac:dyDescent="0.35">
      <c r="A54" s="8" t="s">
        <v>167</v>
      </c>
      <c r="B54" s="6" t="s">
        <v>100</v>
      </c>
      <c r="C54" t="s">
        <v>47</v>
      </c>
      <c r="D54" s="6">
        <v>0</v>
      </c>
      <c r="E54" s="6">
        <v>1</v>
      </c>
      <c r="F54" s="6">
        <v>0</v>
      </c>
      <c r="G54" s="6">
        <v>0</v>
      </c>
    </row>
    <row r="55" spans="1:7" x14ac:dyDescent="0.35">
      <c r="A55" s="8" t="s">
        <v>168</v>
      </c>
      <c r="B55" s="6" t="s">
        <v>100</v>
      </c>
      <c r="C55" t="s">
        <v>48</v>
      </c>
      <c r="D55" s="6">
        <v>0</v>
      </c>
      <c r="E55" s="6">
        <v>0</v>
      </c>
      <c r="F55" s="6">
        <v>1</v>
      </c>
      <c r="G55" s="6">
        <v>0</v>
      </c>
    </row>
    <row r="56" spans="1:7" x14ac:dyDescent="0.35">
      <c r="A56" s="8" t="s">
        <v>169</v>
      </c>
      <c r="B56" s="6" t="s">
        <v>100</v>
      </c>
      <c r="C56" t="s">
        <v>49</v>
      </c>
      <c r="D56" s="6">
        <v>0</v>
      </c>
      <c r="E56" s="6">
        <v>0</v>
      </c>
      <c r="F56" s="6">
        <v>1</v>
      </c>
      <c r="G56" s="6">
        <v>0</v>
      </c>
    </row>
    <row r="57" spans="1:7" x14ac:dyDescent="0.35">
      <c r="A57" s="8" t="s">
        <v>170</v>
      </c>
      <c r="B57" s="6" t="s">
        <v>100</v>
      </c>
      <c r="C57" t="s">
        <v>50</v>
      </c>
      <c r="D57" s="6">
        <v>0</v>
      </c>
      <c r="E57" s="6">
        <v>0</v>
      </c>
      <c r="F57" s="6">
        <v>1</v>
      </c>
      <c r="G57" s="6">
        <v>0</v>
      </c>
    </row>
    <row r="58" spans="1:7" x14ac:dyDescent="0.35">
      <c r="A58" s="8" t="s">
        <v>171</v>
      </c>
      <c r="B58" s="6" t="s">
        <v>100</v>
      </c>
      <c r="C58" t="s">
        <v>51</v>
      </c>
      <c r="D58" s="6">
        <v>0</v>
      </c>
      <c r="E58" s="6">
        <v>0</v>
      </c>
      <c r="F58" s="6">
        <v>1</v>
      </c>
      <c r="G58" s="6">
        <v>0</v>
      </c>
    </row>
    <row r="59" spans="1:7" x14ac:dyDescent="0.35">
      <c r="A59" s="8" t="s">
        <v>172</v>
      </c>
      <c r="B59" s="6" t="s">
        <v>100</v>
      </c>
      <c r="C59" t="s">
        <v>52</v>
      </c>
      <c r="D59" s="6">
        <v>0</v>
      </c>
      <c r="E59" s="6">
        <v>0</v>
      </c>
      <c r="F59" s="6">
        <v>1</v>
      </c>
      <c r="G59" s="6">
        <v>0</v>
      </c>
    </row>
    <row r="60" spans="1:7" x14ac:dyDescent="0.35">
      <c r="A60" s="8" t="s">
        <v>173</v>
      </c>
      <c r="B60" s="6" t="s">
        <v>100</v>
      </c>
      <c r="C60" t="s">
        <v>53</v>
      </c>
      <c r="D60" s="6">
        <v>0</v>
      </c>
      <c r="E60" s="6">
        <v>0</v>
      </c>
      <c r="F60" s="6">
        <v>1</v>
      </c>
      <c r="G60" s="6">
        <v>0</v>
      </c>
    </row>
    <row r="61" spans="1:7" x14ac:dyDescent="0.35">
      <c r="A61" s="8" t="s">
        <v>174</v>
      </c>
      <c r="B61" s="6" t="s">
        <v>100</v>
      </c>
      <c r="C61" t="s">
        <v>54</v>
      </c>
      <c r="D61" s="6">
        <v>0</v>
      </c>
      <c r="E61" s="6">
        <v>0</v>
      </c>
      <c r="F61" s="6">
        <v>1</v>
      </c>
      <c r="G61" s="6">
        <v>0</v>
      </c>
    </row>
    <row r="62" spans="1:7" x14ac:dyDescent="0.35">
      <c r="A62" s="8" t="s">
        <v>175</v>
      </c>
      <c r="B62" s="6" t="s">
        <v>100</v>
      </c>
      <c r="C62" t="s">
        <v>55</v>
      </c>
      <c r="D62" s="6">
        <v>0</v>
      </c>
      <c r="E62" s="6">
        <v>0</v>
      </c>
      <c r="F62" s="6">
        <v>1</v>
      </c>
      <c r="G62" s="6">
        <v>0</v>
      </c>
    </row>
    <row r="63" spans="1:7" x14ac:dyDescent="0.35">
      <c r="A63" s="8" t="s">
        <v>176</v>
      </c>
      <c r="B63" s="6" t="s">
        <v>100</v>
      </c>
      <c r="C63" t="s">
        <v>56</v>
      </c>
      <c r="D63" s="6">
        <v>0</v>
      </c>
      <c r="E63" s="6">
        <v>0</v>
      </c>
      <c r="F63" s="6">
        <v>1</v>
      </c>
      <c r="G63" s="6">
        <v>0</v>
      </c>
    </row>
    <row r="64" spans="1:7" x14ac:dyDescent="0.35">
      <c r="A64" s="8" t="s">
        <v>177</v>
      </c>
      <c r="B64" s="6" t="s">
        <v>100</v>
      </c>
      <c r="C64" t="s">
        <v>57</v>
      </c>
      <c r="D64" s="6">
        <v>0</v>
      </c>
      <c r="E64" s="6">
        <v>0</v>
      </c>
      <c r="F64" s="6">
        <v>1</v>
      </c>
      <c r="G64" s="6">
        <v>0</v>
      </c>
    </row>
    <row r="65" spans="1:7" x14ac:dyDescent="0.35">
      <c r="A65" s="8" t="s">
        <v>178</v>
      </c>
      <c r="B65" s="6" t="s">
        <v>100</v>
      </c>
      <c r="C65" t="s">
        <v>58</v>
      </c>
      <c r="D65" s="6">
        <v>0</v>
      </c>
      <c r="E65" s="6">
        <v>0</v>
      </c>
      <c r="F65" s="6">
        <v>1</v>
      </c>
      <c r="G65" s="6">
        <v>0</v>
      </c>
    </row>
    <row r="66" spans="1:7" x14ac:dyDescent="0.35">
      <c r="A66" s="8" t="s">
        <v>179</v>
      </c>
      <c r="B66" s="6" t="s">
        <v>100</v>
      </c>
      <c r="C66" t="s">
        <v>59</v>
      </c>
      <c r="D66" s="6">
        <v>0</v>
      </c>
      <c r="E66" s="6">
        <v>0</v>
      </c>
      <c r="F66" s="6">
        <v>1</v>
      </c>
      <c r="G66" s="6">
        <v>0</v>
      </c>
    </row>
    <row r="67" spans="1:7" x14ac:dyDescent="0.35">
      <c r="A67" s="8" t="s">
        <v>180</v>
      </c>
      <c r="B67" s="6" t="s">
        <v>100</v>
      </c>
      <c r="C67" t="s">
        <v>60</v>
      </c>
      <c r="D67" s="6">
        <v>0</v>
      </c>
      <c r="E67" s="6">
        <v>1</v>
      </c>
      <c r="F67" s="6">
        <v>0</v>
      </c>
      <c r="G67" s="6">
        <v>0</v>
      </c>
    </row>
    <row r="68" spans="1:7" x14ac:dyDescent="0.35">
      <c r="A68" s="8" t="s">
        <v>181</v>
      </c>
      <c r="B68" s="6" t="s">
        <v>100</v>
      </c>
      <c r="C68" t="s">
        <v>61</v>
      </c>
      <c r="D68" s="6">
        <v>0</v>
      </c>
      <c r="E68" s="6">
        <v>0</v>
      </c>
      <c r="F68" s="6">
        <v>0</v>
      </c>
      <c r="G68" s="6">
        <v>0</v>
      </c>
    </row>
    <row r="69" spans="1:7" x14ac:dyDescent="0.35">
      <c r="A69" s="8" t="s">
        <v>182</v>
      </c>
      <c r="B69" s="6" t="s">
        <v>100</v>
      </c>
      <c r="C69" t="s">
        <v>183</v>
      </c>
      <c r="D69" s="6">
        <v>1</v>
      </c>
      <c r="E69" s="6">
        <v>0</v>
      </c>
      <c r="F69" s="6">
        <v>0</v>
      </c>
      <c r="G69" s="6">
        <v>0</v>
      </c>
    </row>
    <row r="70" spans="1:7" x14ac:dyDescent="0.35">
      <c r="A70" s="8" t="s">
        <v>184</v>
      </c>
      <c r="B70" s="6" t="s">
        <v>100</v>
      </c>
      <c r="C70" t="s">
        <v>62</v>
      </c>
      <c r="D70" s="6">
        <v>1</v>
      </c>
      <c r="E70" s="6">
        <v>0</v>
      </c>
      <c r="F70" s="6">
        <v>0</v>
      </c>
      <c r="G70" s="6">
        <v>0</v>
      </c>
    </row>
    <row r="71" spans="1:7" x14ac:dyDescent="0.35">
      <c r="A71" s="8" t="s">
        <v>185</v>
      </c>
      <c r="B71" s="6" t="s">
        <v>100</v>
      </c>
      <c r="C71" t="s">
        <v>63</v>
      </c>
      <c r="D71" s="6">
        <v>0</v>
      </c>
      <c r="E71" s="6">
        <v>0</v>
      </c>
      <c r="F71" s="6">
        <v>1</v>
      </c>
      <c r="G71" s="6">
        <v>0</v>
      </c>
    </row>
    <row r="72" spans="1:7" x14ac:dyDescent="0.35">
      <c r="A72" s="8" t="s">
        <v>186</v>
      </c>
      <c r="B72" s="6" t="s">
        <v>100</v>
      </c>
      <c r="C72" t="s">
        <v>20</v>
      </c>
      <c r="D72" s="6">
        <v>0</v>
      </c>
      <c r="E72" s="6">
        <v>0</v>
      </c>
      <c r="F72" s="6">
        <v>1</v>
      </c>
      <c r="G72" s="6">
        <v>0</v>
      </c>
    </row>
    <row r="73" spans="1:7" x14ac:dyDescent="0.35">
      <c r="A73" s="8" t="s">
        <v>187</v>
      </c>
      <c r="B73" s="6" t="s">
        <v>100</v>
      </c>
      <c r="C73" t="s">
        <v>64</v>
      </c>
      <c r="D73" s="6">
        <v>0</v>
      </c>
      <c r="E73" s="6">
        <v>1</v>
      </c>
      <c r="F73" s="6">
        <v>0</v>
      </c>
      <c r="G73" s="6">
        <v>0</v>
      </c>
    </row>
    <row r="74" spans="1:7" x14ac:dyDescent="0.35">
      <c r="A74" s="8" t="s">
        <v>188</v>
      </c>
      <c r="B74" s="6" t="s">
        <v>100</v>
      </c>
      <c r="C74" t="s">
        <v>65</v>
      </c>
      <c r="D74" s="6">
        <v>0</v>
      </c>
      <c r="E74" s="6">
        <v>1</v>
      </c>
      <c r="F74" s="6">
        <v>0</v>
      </c>
      <c r="G74" s="6">
        <v>0</v>
      </c>
    </row>
    <row r="75" spans="1:7" x14ac:dyDescent="0.35">
      <c r="A75" s="8" t="s">
        <v>189</v>
      </c>
      <c r="B75" s="6" t="s">
        <v>100</v>
      </c>
      <c r="C75" t="s">
        <v>66</v>
      </c>
      <c r="D75" s="6">
        <v>0</v>
      </c>
      <c r="E75" s="6">
        <v>1</v>
      </c>
      <c r="F75" s="6">
        <v>0</v>
      </c>
      <c r="G75" s="6">
        <v>0</v>
      </c>
    </row>
    <row r="76" spans="1:7" x14ac:dyDescent="0.35">
      <c r="A76" s="8" t="s">
        <v>190</v>
      </c>
      <c r="B76" s="6" t="s">
        <v>100</v>
      </c>
      <c r="C76" t="s">
        <v>67</v>
      </c>
      <c r="D76" s="6">
        <v>0</v>
      </c>
      <c r="E76" s="6">
        <v>1</v>
      </c>
      <c r="F76" s="6">
        <v>0</v>
      </c>
      <c r="G76" s="6">
        <v>0</v>
      </c>
    </row>
    <row r="77" spans="1:7" x14ac:dyDescent="0.35">
      <c r="A77" s="8" t="s">
        <v>191</v>
      </c>
      <c r="B77" s="6" t="s">
        <v>100</v>
      </c>
      <c r="C77" t="s">
        <v>192</v>
      </c>
      <c r="D77" s="6">
        <v>0</v>
      </c>
      <c r="E77" s="6">
        <v>0</v>
      </c>
      <c r="F77" s="6">
        <v>0</v>
      </c>
      <c r="G77" s="6">
        <v>0</v>
      </c>
    </row>
    <row r="78" spans="1:7" x14ac:dyDescent="0.35">
      <c r="A78" s="8" t="s">
        <v>193</v>
      </c>
      <c r="B78" s="6" t="s">
        <v>100</v>
      </c>
      <c r="C78" t="s">
        <v>194</v>
      </c>
      <c r="D78" s="6">
        <v>0</v>
      </c>
      <c r="E78" s="6">
        <v>0</v>
      </c>
      <c r="F78" s="6">
        <v>0</v>
      </c>
      <c r="G78" s="6">
        <v>0</v>
      </c>
    </row>
    <row r="79" spans="1:7" x14ac:dyDescent="0.35">
      <c r="A79" s="8" t="s">
        <v>195</v>
      </c>
      <c r="B79" s="6" t="s">
        <v>100</v>
      </c>
      <c r="C79" t="s">
        <v>68</v>
      </c>
      <c r="D79" s="6">
        <v>0</v>
      </c>
      <c r="E79" s="6">
        <v>0</v>
      </c>
      <c r="F79" s="6">
        <v>1</v>
      </c>
      <c r="G79" s="6">
        <v>0</v>
      </c>
    </row>
    <row r="80" spans="1:7" x14ac:dyDescent="0.35">
      <c r="A80" s="8" t="s">
        <v>196</v>
      </c>
      <c r="B80" s="6" t="s">
        <v>100</v>
      </c>
      <c r="C80" t="s">
        <v>69</v>
      </c>
      <c r="D80" s="6">
        <v>1</v>
      </c>
      <c r="E80" s="6">
        <v>0</v>
      </c>
      <c r="F80" s="6">
        <v>0</v>
      </c>
      <c r="G80" s="6">
        <v>0</v>
      </c>
    </row>
    <row r="81" spans="1:7" x14ac:dyDescent="0.35">
      <c r="A81" s="8" t="s">
        <v>197</v>
      </c>
      <c r="B81" s="6" t="s">
        <v>100</v>
      </c>
      <c r="C81" t="s">
        <v>70</v>
      </c>
      <c r="D81" s="6">
        <v>1</v>
      </c>
      <c r="E81" s="6">
        <v>0</v>
      </c>
      <c r="F81" s="6">
        <v>0</v>
      </c>
      <c r="G81" s="6">
        <v>0</v>
      </c>
    </row>
    <row r="82" spans="1:7" x14ac:dyDescent="0.35">
      <c r="A82" s="8" t="s">
        <v>259</v>
      </c>
      <c r="B82" s="6" t="s">
        <v>100</v>
      </c>
      <c r="C82" t="s">
        <v>260</v>
      </c>
      <c r="D82" s="6">
        <v>1</v>
      </c>
      <c r="E82" s="6">
        <v>0</v>
      </c>
      <c r="F82" s="6">
        <v>0</v>
      </c>
      <c r="G82" s="6">
        <v>0</v>
      </c>
    </row>
    <row r="83" spans="1:7" x14ac:dyDescent="0.35">
      <c r="A83" s="8" t="s">
        <v>198</v>
      </c>
      <c r="B83" s="6" t="s">
        <v>100</v>
      </c>
      <c r="C83" t="s">
        <v>71</v>
      </c>
      <c r="D83" s="6">
        <v>1</v>
      </c>
      <c r="E83" s="6">
        <v>0</v>
      </c>
      <c r="F83" s="6">
        <v>0</v>
      </c>
      <c r="G83" s="6">
        <v>0</v>
      </c>
    </row>
    <row r="84" spans="1:7" x14ac:dyDescent="0.35">
      <c r="A84" s="8" t="s">
        <v>199</v>
      </c>
      <c r="B84" s="6" t="s">
        <v>100</v>
      </c>
      <c r="C84" t="s">
        <v>72</v>
      </c>
      <c r="D84" s="6">
        <v>0</v>
      </c>
      <c r="E84" s="6">
        <v>0</v>
      </c>
      <c r="F84" s="6">
        <v>0</v>
      </c>
      <c r="G84" s="6">
        <v>0</v>
      </c>
    </row>
    <row r="85" spans="1:7" x14ac:dyDescent="0.35">
      <c r="A85" s="8" t="s">
        <v>200</v>
      </c>
      <c r="B85" s="6" t="s">
        <v>100</v>
      </c>
      <c r="C85" t="s">
        <v>201</v>
      </c>
      <c r="D85" s="6">
        <v>0</v>
      </c>
      <c r="E85" s="6">
        <v>0</v>
      </c>
      <c r="F85" s="6">
        <v>0</v>
      </c>
      <c r="G85" s="6">
        <v>0</v>
      </c>
    </row>
    <row r="86" spans="1:7" x14ac:dyDescent="0.35">
      <c r="A86" s="8" t="s">
        <v>202</v>
      </c>
      <c r="B86" s="6" t="s">
        <v>100</v>
      </c>
      <c r="C86" t="s">
        <v>11</v>
      </c>
      <c r="D86" s="6">
        <v>1</v>
      </c>
      <c r="E86" s="6">
        <v>0</v>
      </c>
      <c r="F86" s="6">
        <v>0</v>
      </c>
      <c r="G86" s="6">
        <v>0</v>
      </c>
    </row>
    <row r="87" spans="1:7" x14ac:dyDescent="0.35">
      <c r="A87" s="8" t="s">
        <v>203</v>
      </c>
      <c r="B87" s="6" t="s">
        <v>100</v>
      </c>
      <c r="C87" t="s">
        <v>73</v>
      </c>
      <c r="D87" s="6">
        <v>1</v>
      </c>
      <c r="E87" s="6">
        <v>0</v>
      </c>
      <c r="F87" s="6">
        <v>0</v>
      </c>
      <c r="G87" s="6">
        <v>0</v>
      </c>
    </row>
    <row r="88" spans="1:7" x14ac:dyDescent="0.35">
      <c r="A88" s="8" t="s">
        <v>204</v>
      </c>
      <c r="B88" s="6" t="s">
        <v>100</v>
      </c>
      <c r="C88" t="s">
        <v>74</v>
      </c>
      <c r="D88" s="6">
        <v>0</v>
      </c>
      <c r="E88" s="6">
        <v>1</v>
      </c>
      <c r="F88" s="6">
        <v>0</v>
      </c>
      <c r="G88" s="6">
        <v>0</v>
      </c>
    </row>
    <row r="89" spans="1:7" x14ac:dyDescent="0.35">
      <c r="A89" s="8" t="s">
        <v>205</v>
      </c>
      <c r="B89" s="6" t="s">
        <v>99</v>
      </c>
      <c r="C89" t="s">
        <v>206</v>
      </c>
      <c r="D89" s="6">
        <v>-1</v>
      </c>
      <c r="E89" s="6">
        <v>0</v>
      </c>
      <c r="F89" s="6">
        <v>0</v>
      </c>
      <c r="G89" s="6">
        <v>0</v>
      </c>
    </row>
    <row r="90" spans="1:7" x14ac:dyDescent="0.35">
      <c r="A90" s="8" t="s">
        <v>207</v>
      </c>
      <c r="B90" s="6" t="s">
        <v>99</v>
      </c>
      <c r="C90" t="s">
        <v>208</v>
      </c>
      <c r="D90" s="6">
        <v>0</v>
      </c>
      <c r="E90" s="6">
        <v>0</v>
      </c>
      <c r="F90" s="6">
        <v>0</v>
      </c>
      <c r="G90" s="6">
        <v>0</v>
      </c>
    </row>
    <row r="91" spans="1:7" x14ac:dyDescent="0.35">
      <c r="A91" s="8" t="s">
        <v>209</v>
      </c>
      <c r="B91" s="6" t="s">
        <v>99</v>
      </c>
      <c r="C91" t="s">
        <v>210</v>
      </c>
      <c r="D91" s="6">
        <v>0</v>
      </c>
      <c r="E91" s="6">
        <v>0</v>
      </c>
      <c r="F91" s="6">
        <v>0</v>
      </c>
      <c r="G91" s="6">
        <v>0</v>
      </c>
    </row>
    <row r="92" spans="1:7" x14ac:dyDescent="0.35">
      <c r="A92" s="8" t="s">
        <v>211</v>
      </c>
      <c r="B92" s="6" t="s">
        <v>99</v>
      </c>
      <c r="C92" t="s">
        <v>76</v>
      </c>
      <c r="D92" s="6">
        <v>0</v>
      </c>
      <c r="E92" s="6">
        <v>0</v>
      </c>
      <c r="F92" s="6">
        <v>0</v>
      </c>
      <c r="G92" s="6">
        <v>0</v>
      </c>
    </row>
    <row r="93" spans="1:7" x14ac:dyDescent="0.35">
      <c r="A93" s="8" t="s">
        <v>212</v>
      </c>
      <c r="B93" s="6" t="s">
        <v>99</v>
      </c>
      <c r="C93" t="s">
        <v>213</v>
      </c>
      <c r="D93" s="6">
        <v>0</v>
      </c>
      <c r="E93" s="6">
        <v>0</v>
      </c>
      <c r="F93" s="6">
        <v>0</v>
      </c>
      <c r="G93" s="6">
        <v>0</v>
      </c>
    </row>
    <row r="94" spans="1:7" x14ac:dyDescent="0.35">
      <c r="A94" s="8" t="s">
        <v>214</v>
      </c>
      <c r="B94" s="6" t="s">
        <v>99</v>
      </c>
      <c r="C94" t="s">
        <v>215</v>
      </c>
      <c r="D94" s="6">
        <v>0</v>
      </c>
      <c r="E94" s="6">
        <v>0</v>
      </c>
      <c r="F94" s="6">
        <v>0</v>
      </c>
      <c r="G94" s="6">
        <v>0</v>
      </c>
    </row>
    <row r="95" spans="1:7" x14ac:dyDescent="0.35">
      <c r="A95" s="8" t="s">
        <v>216</v>
      </c>
      <c r="B95" s="6" t="s">
        <v>99</v>
      </c>
      <c r="C95" t="s">
        <v>217</v>
      </c>
      <c r="D95" s="6">
        <v>0</v>
      </c>
      <c r="E95" s="6">
        <v>0</v>
      </c>
      <c r="F95" s="6">
        <v>0</v>
      </c>
      <c r="G95" s="6">
        <v>0</v>
      </c>
    </row>
    <row r="96" spans="1:7" x14ac:dyDescent="0.35">
      <c r="A96" s="8" t="s">
        <v>218</v>
      </c>
      <c r="B96" s="6" t="s">
        <v>99</v>
      </c>
      <c r="C96" t="s">
        <v>219</v>
      </c>
      <c r="D96" s="6">
        <v>0</v>
      </c>
      <c r="E96" s="6">
        <v>0</v>
      </c>
      <c r="F96" s="6">
        <v>0</v>
      </c>
      <c r="G96" s="6">
        <v>0</v>
      </c>
    </row>
    <row r="97" spans="1:7" x14ac:dyDescent="0.35">
      <c r="A97" s="8" t="s">
        <v>220</v>
      </c>
      <c r="B97" s="6" t="s">
        <v>99</v>
      </c>
      <c r="C97" t="s">
        <v>77</v>
      </c>
      <c r="D97" s="6">
        <v>0</v>
      </c>
      <c r="E97" s="6">
        <v>-1</v>
      </c>
      <c r="F97" s="6">
        <v>0</v>
      </c>
      <c r="G97" s="6">
        <v>0</v>
      </c>
    </row>
    <row r="98" spans="1:7" x14ac:dyDescent="0.35">
      <c r="A98" s="8" t="s">
        <v>221</v>
      </c>
      <c r="B98" s="6" t="s">
        <v>99</v>
      </c>
      <c r="C98" t="s">
        <v>78</v>
      </c>
      <c r="D98" s="6">
        <v>0</v>
      </c>
      <c r="E98" s="6">
        <v>-1</v>
      </c>
      <c r="F98" s="6">
        <v>0</v>
      </c>
      <c r="G98" s="6">
        <v>0</v>
      </c>
    </row>
    <row r="99" spans="1:7" x14ac:dyDescent="0.35">
      <c r="A99" s="8" t="s">
        <v>222</v>
      </c>
      <c r="B99" s="6" t="s">
        <v>99</v>
      </c>
      <c r="C99" t="s">
        <v>79</v>
      </c>
      <c r="D99" s="6">
        <v>0</v>
      </c>
      <c r="E99" s="6">
        <v>-1</v>
      </c>
      <c r="F99" s="6">
        <v>0</v>
      </c>
      <c r="G99" s="6">
        <v>0</v>
      </c>
    </row>
    <row r="100" spans="1:7" x14ac:dyDescent="0.35">
      <c r="A100" s="8" t="s">
        <v>223</v>
      </c>
      <c r="B100" s="6" t="s">
        <v>99</v>
      </c>
      <c r="C100" t="s">
        <v>224</v>
      </c>
      <c r="D100" s="6">
        <v>0</v>
      </c>
      <c r="E100" s="6">
        <v>0</v>
      </c>
      <c r="F100" s="6">
        <v>0</v>
      </c>
      <c r="G100" s="6">
        <v>0</v>
      </c>
    </row>
    <row r="101" spans="1:7" x14ac:dyDescent="0.35">
      <c r="A101" s="8" t="s">
        <v>225</v>
      </c>
      <c r="B101" s="6" t="s">
        <v>99</v>
      </c>
      <c r="C101" t="s">
        <v>208</v>
      </c>
      <c r="D101" s="6">
        <v>0</v>
      </c>
      <c r="E101" s="6">
        <v>0</v>
      </c>
      <c r="F101" s="6">
        <v>0</v>
      </c>
      <c r="G101" s="6">
        <v>0</v>
      </c>
    </row>
    <row r="102" spans="1:7" x14ac:dyDescent="0.35">
      <c r="A102" s="8" t="s">
        <v>262</v>
      </c>
      <c r="B102" s="6" t="s">
        <v>99</v>
      </c>
      <c r="C102" t="s">
        <v>261</v>
      </c>
      <c r="D102" s="6">
        <v>0</v>
      </c>
      <c r="E102" s="6">
        <v>0</v>
      </c>
      <c r="F102" s="6">
        <v>0</v>
      </c>
      <c r="G102" s="6">
        <v>0</v>
      </c>
    </row>
    <row r="103" spans="1:7" x14ac:dyDescent="0.35">
      <c r="A103" s="8" t="s">
        <v>226</v>
      </c>
      <c r="B103" s="6" t="s">
        <v>99</v>
      </c>
      <c r="C103" t="s">
        <v>227</v>
      </c>
      <c r="D103" s="6">
        <v>0</v>
      </c>
      <c r="E103" s="6">
        <v>0</v>
      </c>
      <c r="F103" s="6">
        <v>0</v>
      </c>
      <c r="G103" s="6">
        <v>0</v>
      </c>
    </row>
    <row r="104" spans="1:7" x14ac:dyDescent="0.35">
      <c r="A104" s="8" t="s">
        <v>228</v>
      </c>
      <c r="B104" s="6" t="s">
        <v>99</v>
      </c>
      <c r="C104" t="s">
        <v>229</v>
      </c>
      <c r="D104" s="6">
        <v>0</v>
      </c>
      <c r="E104" s="6">
        <v>0</v>
      </c>
      <c r="F104" s="6">
        <v>0</v>
      </c>
      <c r="G104" s="6">
        <v>0</v>
      </c>
    </row>
    <row r="105" spans="1:7" x14ac:dyDescent="0.35">
      <c r="A105" s="8" t="s">
        <v>230</v>
      </c>
      <c r="B105" s="6" t="s">
        <v>99</v>
      </c>
      <c r="C105" t="s">
        <v>231</v>
      </c>
      <c r="D105" s="6">
        <v>0</v>
      </c>
      <c r="E105" s="6">
        <v>0</v>
      </c>
      <c r="F105" s="6">
        <v>0</v>
      </c>
      <c r="G105" s="6">
        <v>0</v>
      </c>
    </row>
    <row r="106" spans="1:7" x14ac:dyDescent="0.35">
      <c r="A106" s="8" t="s">
        <v>232</v>
      </c>
      <c r="B106" s="6" t="s">
        <v>99</v>
      </c>
      <c r="C106" t="s">
        <v>233</v>
      </c>
      <c r="D106" s="6">
        <v>0</v>
      </c>
      <c r="E106" s="6">
        <v>0</v>
      </c>
      <c r="F106" s="6">
        <v>0</v>
      </c>
      <c r="G106" s="6">
        <v>0</v>
      </c>
    </row>
    <row r="107" spans="1:7" x14ac:dyDescent="0.35">
      <c r="A107" s="8" t="s">
        <v>234</v>
      </c>
      <c r="B107" s="6" t="s">
        <v>99</v>
      </c>
      <c r="C107" t="s">
        <v>80</v>
      </c>
      <c r="D107" s="6">
        <v>0</v>
      </c>
      <c r="E107" s="6">
        <v>0</v>
      </c>
      <c r="F107" s="6">
        <v>0</v>
      </c>
      <c r="G107" s="6">
        <v>0</v>
      </c>
    </row>
    <row r="108" spans="1:7" x14ac:dyDescent="0.35">
      <c r="A108" s="8" t="s">
        <v>235</v>
      </c>
      <c r="B108" s="6" t="s">
        <v>99</v>
      </c>
      <c r="C108" t="s">
        <v>81</v>
      </c>
      <c r="D108" s="6">
        <v>0</v>
      </c>
      <c r="E108" s="6">
        <v>0</v>
      </c>
      <c r="F108" s="6">
        <v>0</v>
      </c>
      <c r="G108" s="6">
        <v>0</v>
      </c>
    </row>
    <row r="109" spans="1:7" x14ac:dyDescent="0.35">
      <c r="A109" s="8" t="s">
        <v>236</v>
      </c>
      <c r="B109" s="6" t="s">
        <v>99</v>
      </c>
      <c r="C109" t="s">
        <v>82</v>
      </c>
      <c r="D109" s="6">
        <v>0</v>
      </c>
      <c r="E109" s="6">
        <v>0</v>
      </c>
      <c r="F109" s="6">
        <v>0</v>
      </c>
      <c r="G109" s="6">
        <v>0</v>
      </c>
    </row>
    <row r="110" spans="1:7" x14ac:dyDescent="0.35">
      <c r="A110" s="8" t="s">
        <v>237</v>
      </c>
      <c r="B110" s="6" t="s">
        <v>99</v>
      </c>
      <c r="C110" t="s">
        <v>83</v>
      </c>
      <c r="D110" s="6">
        <v>0</v>
      </c>
      <c r="E110" s="6">
        <v>0</v>
      </c>
      <c r="F110" s="6">
        <v>0</v>
      </c>
      <c r="G110" s="6">
        <v>0</v>
      </c>
    </row>
    <row r="111" spans="1:7" x14ac:dyDescent="0.35">
      <c r="A111" s="8" t="s">
        <v>238</v>
      </c>
      <c r="B111" s="6" t="s">
        <v>99</v>
      </c>
      <c r="C111" t="s">
        <v>84</v>
      </c>
      <c r="D111" s="6">
        <v>0</v>
      </c>
      <c r="E111" s="6">
        <v>0</v>
      </c>
      <c r="F111" s="6">
        <v>0</v>
      </c>
      <c r="G111" s="6">
        <v>0</v>
      </c>
    </row>
    <row r="112" spans="1:7" x14ac:dyDescent="0.35">
      <c r="A112" s="8" t="s">
        <v>239</v>
      </c>
      <c r="B112" s="6" t="s">
        <v>99</v>
      </c>
      <c r="C112" t="s">
        <v>75</v>
      </c>
      <c r="D112" s="6">
        <v>0</v>
      </c>
      <c r="E112" s="6">
        <v>0</v>
      </c>
      <c r="F112" s="6">
        <v>0</v>
      </c>
      <c r="G112" s="6">
        <v>0</v>
      </c>
    </row>
    <row r="113" spans="1:7" x14ac:dyDescent="0.35">
      <c r="A113" s="8" t="s">
        <v>240</v>
      </c>
      <c r="B113" s="6" t="s">
        <v>99</v>
      </c>
      <c r="C113" t="s">
        <v>85</v>
      </c>
      <c r="D113" s="6">
        <v>0</v>
      </c>
      <c r="E113" s="6">
        <v>0</v>
      </c>
      <c r="F113" s="6">
        <v>0</v>
      </c>
      <c r="G113" s="6">
        <v>0</v>
      </c>
    </row>
    <row r="114" spans="1:7" x14ac:dyDescent="0.35">
      <c r="A114" s="8" t="s">
        <v>241</v>
      </c>
      <c r="B114" s="6" t="s">
        <v>99</v>
      </c>
      <c r="C114" t="s">
        <v>86</v>
      </c>
      <c r="D114" s="6">
        <v>0</v>
      </c>
      <c r="E114" s="6">
        <v>0</v>
      </c>
      <c r="F114" s="6">
        <v>0</v>
      </c>
      <c r="G114" s="6">
        <v>0</v>
      </c>
    </row>
    <row r="115" spans="1:7" x14ac:dyDescent="0.35">
      <c r="A115" s="8" t="s">
        <v>242</v>
      </c>
      <c r="B115" s="6" t="s">
        <v>99</v>
      </c>
      <c r="C115" t="s">
        <v>87</v>
      </c>
      <c r="D115" s="6">
        <v>-1</v>
      </c>
      <c r="E115" s="6">
        <v>0</v>
      </c>
      <c r="F115" s="6">
        <v>0</v>
      </c>
      <c r="G115" s="6">
        <v>0</v>
      </c>
    </row>
    <row r="116" spans="1:7" x14ac:dyDescent="0.35">
      <c r="A116" s="8" t="s">
        <v>243</v>
      </c>
      <c r="B116" s="6" t="s">
        <v>99</v>
      </c>
      <c r="C116" t="s">
        <v>244</v>
      </c>
      <c r="D116" s="6">
        <v>0</v>
      </c>
      <c r="E116" s="6">
        <v>0</v>
      </c>
      <c r="F116" s="6">
        <v>0</v>
      </c>
      <c r="G116" s="6">
        <v>0</v>
      </c>
    </row>
    <row r="117" spans="1:7" x14ac:dyDescent="0.35">
      <c r="A117" s="8" t="s">
        <v>245</v>
      </c>
      <c r="B117" s="6" t="s">
        <v>99</v>
      </c>
      <c r="C117" t="s">
        <v>246</v>
      </c>
      <c r="D117" s="6">
        <v>0</v>
      </c>
      <c r="E117" s="6">
        <v>0</v>
      </c>
      <c r="F117" s="6">
        <v>0</v>
      </c>
      <c r="G117" s="6">
        <v>0</v>
      </c>
    </row>
    <row r="118" spans="1:7" x14ac:dyDescent="0.35">
      <c r="A118" s="8" t="s">
        <v>247</v>
      </c>
      <c r="B118" s="6" t="s">
        <v>99</v>
      </c>
      <c r="C118" t="s">
        <v>248</v>
      </c>
      <c r="D118" s="6">
        <v>-1</v>
      </c>
      <c r="E118" s="6">
        <v>0</v>
      </c>
      <c r="F118" s="6">
        <v>0</v>
      </c>
      <c r="G118" s="6">
        <v>0</v>
      </c>
    </row>
    <row r="119" spans="1:7" x14ac:dyDescent="0.35">
      <c r="A119" s="8" t="s">
        <v>249</v>
      </c>
      <c r="B119" s="6" t="s">
        <v>99</v>
      </c>
      <c r="C119" t="s">
        <v>250</v>
      </c>
      <c r="D119" s="6">
        <v>0</v>
      </c>
      <c r="E119" s="6">
        <v>0</v>
      </c>
      <c r="F119" s="6">
        <v>0</v>
      </c>
      <c r="G119" s="6">
        <v>0</v>
      </c>
    </row>
    <row r="120" spans="1:7" x14ac:dyDescent="0.35">
      <c r="A120" s="8" t="s">
        <v>251</v>
      </c>
      <c r="B120" s="6" t="s">
        <v>99</v>
      </c>
      <c r="C120" t="s">
        <v>252</v>
      </c>
      <c r="D120" s="6">
        <v>0</v>
      </c>
      <c r="E120" s="6">
        <v>0</v>
      </c>
      <c r="F120" s="6">
        <v>0</v>
      </c>
      <c r="G120" s="6">
        <v>0</v>
      </c>
    </row>
    <row r="121" spans="1:7" x14ac:dyDescent="0.35">
      <c r="A121" s="8" t="s">
        <v>253</v>
      </c>
      <c r="B121" s="6" t="s">
        <v>99</v>
      </c>
      <c r="C121" t="s">
        <v>88</v>
      </c>
      <c r="D121" s="6">
        <v>0</v>
      </c>
      <c r="E121" s="6">
        <v>0</v>
      </c>
      <c r="F121" s="6">
        <v>0</v>
      </c>
      <c r="G121" s="6">
        <v>0</v>
      </c>
    </row>
    <row r="122" spans="1:7" x14ac:dyDescent="0.35">
      <c r="A122" s="8" t="s">
        <v>254</v>
      </c>
      <c r="B122" s="6" t="s">
        <v>99</v>
      </c>
      <c r="C122" t="s">
        <v>89</v>
      </c>
      <c r="D122" s="6">
        <v>0</v>
      </c>
      <c r="E122" s="6">
        <v>0</v>
      </c>
      <c r="F122" s="6">
        <v>0</v>
      </c>
      <c r="G122" s="6">
        <v>0</v>
      </c>
    </row>
    <row r="123" spans="1:7" x14ac:dyDescent="0.35">
      <c r="A123" s="8" t="s">
        <v>255</v>
      </c>
      <c r="B123" s="6" t="s">
        <v>99</v>
      </c>
      <c r="C123" t="s">
        <v>88</v>
      </c>
      <c r="D123" s="6">
        <v>0</v>
      </c>
      <c r="E123" s="6">
        <v>0</v>
      </c>
      <c r="F123" s="6">
        <v>0</v>
      </c>
      <c r="G123" s="6">
        <v>0</v>
      </c>
    </row>
    <row r="124" spans="1:7" x14ac:dyDescent="0.35">
      <c r="A124" s="8" t="s">
        <v>256</v>
      </c>
      <c r="B124" s="6" t="s">
        <v>99</v>
      </c>
      <c r="C124" t="s">
        <v>90</v>
      </c>
      <c r="D124" s="6">
        <v>0</v>
      </c>
      <c r="E124" s="6">
        <v>0</v>
      </c>
      <c r="F124" s="6">
        <v>0</v>
      </c>
      <c r="G124" s="6">
        <v>0</v>
      </c>
    </row>
    <row r="125" spans="1:7" x14ac:dyDescent="0.35">
      <c r="A125" s="8" t="s">
        <v>257</v>
      </c>
      <c r="B125" s="6" t="s">
        <v>99</v>
      </c>
      <c r="C125" t="s">
        <v>88</v>
      </c>
      <c r="D125" s="6">
        <v>0</v>
      </c>
      <c r="E125" s="6">
        <v>0</v>
      </c>
      <c r="F125" s="6">
        <v>0</v>
      </c>
      <c r="G125" s="6">
        <v>0</v>
      </c>
    </row>
    <row r="126" spans="1:7" x14ac:dyDescent="0.35">
      <c r="A126" s="8" t="s">
        <v>258</v>
      </c>
      <c r="B126" s="6" t="s">
        <v>99</v>
      </c>
      <c r="C126" t="s">
        <v>91</v>
      </c>
      <c r="D126" s="6">
        <v>0</v>
      </c>
      <c r="E126" s="6">
        <v>0</v>
      </c>
      <c r="F126" s="6">
        <v>0</v>
      </c>
      <c r="G126" s="6">
        <v>0</v>
      </c>
    </row>
  </sheetData>
  <conditionalFormatting sqref="D2:G126">
    <cfRule type="cellIs" dxfId="8" priority="1" operator="equal">
      <formula>1</formula>
    </cfRule>
    <cfRule type="cellIs" dxfId="7" priority="2" operator="equal">
      <formula>-1</formula>
    </cfRule>
  </conditionalFormatting>
  <pageMargins left="0.511811024" right="0.511811024" top="0.78740157499999996" bottom="0.78740157499999996" header="0.31496062000000002" footer="0.31496062000000002"/>
  <customProperties>
    <customPr name="_pios_id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G126"/>
  <sheetViews>
    <sheetView topLeftCell="A115" workbookViewId="0">
      <selection activeCell="D135" sqref="D135"/>
    </sheetView>
  </sheetViews>
  <sheetFormatPr defaultRowHeight="14.5" x14ac:dyDescent="0.35"/>
  <cols>
    <col min="2" max="2" width="9.26953125" customWidth="1"/>
    <col min="3" max="3" width="35.7265625" bestFit="1" customWidth="1"/>
    <col min="4" max="4" width="14.26953125" customWidth="1"/>
  </cols>
  <sheetData>
    <row r="1" spans="1:7" x14ac:dyDescent="0.35">
      <c r="A1" t="s">
        <v>98</v>
      </c>
      <c r="B1" t="s">
        <v>269</v>
      </c>
      <c r="C1" t="s">
        <v>268</v>
      </c>
      <c r="D1" t="s">
        <v>270</v>
      </c>
    </row>
    <row r="2" spans="1:7" x14ac:dyDescent="0.35">
      <c r="A2" t="s">
        <v>99</v>
      </c>
      <c r="B2" t="s">
        <v>205</v>
      </c>
      <c r="C2" t="s">
        <v>206</v>
      </c>
      <c r="D2" t="s">
        <v>272</v>
      </c>
    </row>
    <row r="3" spans="1:7" x14ac:dyDescent="0.35">
      <c r="A3" t="s">
        <v>99</v>
      </c>
      <c r="B3" t="s">
        <v>209</v>
      </c>
      <c r="C3" t="s">
        <v>210</v>
      </c>
      <c r="D3" t="s">
        <v>272</v>
      </c>
    </row>
    <row r="4" spans="1:7" x14ac:dyDescent="0.35">
      <c r="A4" t="s">
        <v>99</v>
      </c>
      <c r="B4" t="s">
        <v>214</v>
      </c>
      <c r="C4" t="s">
        <v>215</v>
      </c>
      <c r="D4" t="s">
        <v>275</v>
      </c>
    </row>
    <row r="5" spans="1:7" x14ac:dyDescent="0.35">
      <c r="A5" t="s">
        <v>99</v>
      </c>
      <c r="B5" t="s">
        <v>216</v>
      </c>
      <c r="C5" t="s">
        <v>217</v>
      </c>
      <c r="D5" t="s">
        <v>275</v>
      </c>
    </row>
    <row r="6" spans="1:7" x14ac:dyDescent="0.35">
      <c r="A6" t="s">
        <v>99</v>
      </c>
      <c r="B6" t="s">
        <v>218</v>
      </c>
      <c r="C6" t="s">
        <v>219</v>
      </c>
      <c r="D6" t="s">
        <v>275</v>
      </c>
    </row>
    <row r="7" spans="1:7" x14ac:dyDescent="0.35">
      <c r="A7" t="s">
        <v>99</v>
      </c>
      <c r="B7" t="s">
        <v>220</v>
      </c>
      <c r="C7" t="s">
        <v>77</v>
      </c>
      <c r="D7" t="s">
        <v>271</v>
      </c>
      <c r="G7" s="1" t="s">
        <v>276</v>
      </c>
    </row>
    <row r="8" spans="1:7" x14ac:dyDescent="0.35">
      <c r="A8" t="s">
        <v>99</v>
      </c>
      <c r="B8" t="s">
        <v>221</v>
      </c>
      <c r="C8" t="s">
        <v>78</v>
      </c>
      <c r="D8" t="s">
        <v>272</v>
      </c>
    </row>
    <row r="9" spans="1:7" x14ac:dyDescent="0.35">
      <c r="A9" t="s">
        <v>99</v>
      </c>
      <c r="B9" t="s">
        <v>223</v>
      </c>
      <c r="C9" t="s">
        <v>224</v>
      </c>
      <c r="D9" t="s">
        <v>275</v>
      </c>
    </row>
    <row r="10" spans="1:7" x14ac:dyDescent="0.35">
      <c r="A10" t="s">
        <v>99</v>
      </c>
      <c r="B10" t="s">
        <v>225</v>
      </c>
      <c r="C10" t="s">
        <v>208</v>
      </c>
      <c r="D10" t="s">
        <v>275</v>
      </c>
    </row>
    <row r="11" spans="1:7" x14ac:dyDescent="0.35">
      <c r="A11" t="s">
        <v>99</v>
      </c>
      <c r="B11" t="s">
        <v>226</v>
      </c>
      <c r="C11" t="s">
        <v>227</v>
      </c>
      <c r="D11" t="s">
        <v>275</v>
      </c>
    </row>
    <row r="12" spans="1:7" x14ac:dyDescent="0.35">
      <c r="A12" t="s">
        <v>99</v>
      </c>
      <c r="B12" t="s">
        <v>279</v>
      </c>
      <c r="C12" t="s">
        <v>280</v>
      </c>
      <c r="D12" t="s">
        <v>275</v>
      </c>
    </row>
    <row r="13" spans="1:7" x14ac:dyDescent="0.35">
      <c r="A13" t="s">
        <v>99</v>
      </c>
      <c r="B13" t="s">
        <v>230</v>
      </c>
      <c r="C13" t="s">
        <v>231</v>
      </c>
      <c r="D13" t="s">
        <v>275</v>
      </c>
    </row>
    <row r="14" spans="1:7" x14ac:dyDescent="0.35">
      <c r="A14" t="s">
        <v>99</v>
      </c>
      <c r="B14" t="s">
        <v>234</v>
      </c>
      <c r="C14" t="s">
        <v>80</v>
      </c>
      <c r="D14" t="s">
        <v>275</v>
      </c>
    </row>
    <row r="15" spans="1:7" x14ac:dyDescent="0.35">
      <c r="A15" t="s">
        <v>99</v>
      </c>
      <c r="B15" t="s">
        <v>235</v>
      </c>
      <c r="C15" t="s">
        <v>81</v>
      </c>
      <c r="D15" t="s">
        <v>275</v>
      </c>
    </row>
    <row r="16" spans="1:7" x14ac:dyDescent="0.35">
      <c r="A16" t="s">
        <v>99</v>
      </c>
      <c r="B16" t="s">
        <v>236</v>
      </c>
      <c r="C16" t="s">
        <v>82</v>
      </c>
      <c r="D16" t="s">
        <v>275</v>
      </c>
    </row>
    <row r="17" spans="1:4" x14ac:dyDescent="0.35">
      <c r="A17" t="s">
        <v>99</v>
      </c>
      <c r="B17" t="s">
        <v>238</v>
      </c>
      <c r="C17" t="s">
        <v>84</v>
      </c>
      <c r="D17" t="s">
        <v>275</v>
      </c>
    </row>
    <row r="18" spans="1:4" x14ac:dyDescent="0.35">
      <c r="A18" t="s">
        <v>99</v>
      </c>
      <c r="B18" t="s">
        <v>239</v>
      </c>
      <c r="C18" t="s">
        <v>75</v>
      </c>
      <c r="D18" t="s">
        <v>275</v>
      </c>
    </row>
    <row r="19" spans="1:4" x14ac:dyDescent="0.35">
      <c r="A19" t="s">
        <v>99</v>
      </c>
      <c r="B19" t="s">
        <v>240</v>
      </c>
      <c r="C19" t="s">
        <v>85</v>
      </c>
      <c r="D19" t="s">
        <v>275</v>
      </c>
    </row>
    <row r="20" spans="1:4" x14ac:dyDescent="0.35">
      <c r="A20" t="s">
        <v>99</v>
      </c>
      <c r="B20" t="s">
        <v>241</v>
      </c>
      <c r="C20" t="s">
        <v>86</v>
      </c>
      <c r="D20" t="s">
        <v>275</v>
      </c>
    </row>
    <row r="21" spans="1:4" x14ac:dyDescent="0.35">
      <c r="A21" t="s">
        <v>99</v>
      </c>
      <c r="B21" t="s">
        <v>242</v>
      </c>
      <c r="C21" t="s">
        <v>87</v>
      </c>
      <c r="D21" t="s">
        <v>272</v>
      </c>
    </row>
    <row r="22" spans="1:4" x14ac:dyDescent="0.35">
      <c r="A22" t="s">
        <v>99</v>
      </c>
      <c r="B22" t="s">
        <v>245</v>
      </c>
      <c r="C22" t="s">
        <v>246</v>
      </c>
      <c r="D22" t="s">
        <v>275</v>
      </c>
    </row>
    <row r="23" spans="1:4" x14ac:dyDescent="0.35">
      <c r="A23" t="s">
        <v>99</v>
      </c>
      <c r="B23" t="s">
        <v>249</v>
      </c>
      <c r="C23" t="s">
        <v>250</v>
      </c>
      <c r="D23" t="s">
        <v>275</v>
      </c>
    </row>
    <row r="24" spans="1:4" x14ac:dyDescent="0.35">
      <c r="A24" t="s">
        <v>99</v>
      </c>
      <c r="B24" t="s">
        <v>253</v>
      </c>
      <c r="C24" t="s">
        <v>88</v>
      </c>
      <c r="D24" t="s">
        <v>275</v>
      </c>
    </row>
    <row r="25" spans="1:4" x14ac:dyDescent="0.35">
      <c r="A25" t="s">
        <v>100</v>
      </c>
      <c r="B25" t="s">
        <v>101</v>
      </c>
      <c r="C25" t="s">
        <v>9</v>
      </c>
      <c r="D25" t="s">
        <v>271</v>
      </c>
    </row>
    <row r="26" spans="1:4" x14ac:dyDescent="0.35">
      <c r="A26" t="s">
        <v>100</v>
      </c>
      <c r="B26" t="s">
        <v>263</v>
      </c>
      <c r="C26" t="s">
        <v>264</v>
      </c>
      <c r="D26" t="s">
        <v>271</v>
      </c>
    </row>
    <row r="27" spans="1:4" x14ac:dyDescent="0.35">
      <c r="A27" t="s">
        <v>100</v>
      </c>
      <c r="B27" t="s">
        <v>105</v>
      </c>
      <c r="C27" t="s">
        <v>13</v>
      </c>
      <c r="D27" t="s">
        <v>271</v>
      </c>
    </row>
    <row r="28" spans="1:4" x14ac:dyDescent="0.35">
      <c r="A28" t="s">
        <v>100</v>
      </c>
      <c r="B28" t="s">
        <v>277</v>
      </c>
      <c r="C28" t="s">
        <v>278</v>
      </c>
      <c r="D28" t="s">
        <v>271</v>
      </c>
    </row>
    <row r="29" spans="1:4" x14ac:dyDescent="0.35">
      <c r="A29" t="s">
        <v>100</v>
      </c>
      <c r="B29" t="s">
        <v>111</v>
      </c>
      <c r="C29" t="s">
        <v>15</v>
      </c>
      <c r="D29" t="s">
        <v>271</v>
      </c>
    </row>
    <row r="30" spans="1:4" x14ac:dyDescent="0.35">
      <c r="A30" t="s">
        <v>100</v>
      </c>
      <c r="B30" t="s">
        <v>112</v>
      </c>
      <c r="C30" t="s">
        <v>113</v>
      </c>
      <c r="D30" t="s">
        <v>271</v>
      </c>
    </row>
    <row r="31" spans="1:4" x14ac:dyDescent="0.35">
      <c r="A31" t="s">
        <v>100</v>
      </c>
      <c r="B31" t="s">
        <v>114</v>
      </c>
      <c r="C31" t="s">
        <v>17</v>
      </c>
      <c r="D31" t="s">
        <v>271</v>
      </c>
    </row>
    <row r="32" spans="1:4" x14ac:dyDescent="0.35">
      <c r="A32" t="s">
        <v>100</v>
      </c>
      <c r="B32" t="s">
        <v>115</v>
      </c>
      <c r="C32" t="s">
        <v>16</v>
      </c>
      <c r="D32" t="s">
        <v>272</v>
      </c>
    </row>
    <row r="33" spans="1:4" x14ac:dyDescent="0.35">
      <c r="A33" t="s">
        <v>100</v>
      </c>
      <c r="B33" t="s">
        <v>116</v>
      </c>
      <c r="C33" t="s">
        <v>18</v>
      </c>
      <c r="D33" t="s">
        <v>272</v>
      </c>
    </row>
    <row r="34" spans="1:4" x14ac:dyDescent="0.35">
      <c r="A34" t="s">
        <v>100</v>
      </c>
      <c r="B34" t="s">
        <v>117</v>
      </c>
      <c r="C34" t="s">
        <v>118</v>
      </c>
      <c r="D34" t="s">
        <v>273</v>
      </c>
    </row>
    <row r="35" spans="1:4" x14ac:dyDescent="0.35">
      <c r="A35" t="s">
        <v>100</v>
      </c>
      <c r="B35" t="s">
        <v>119</v>
      </c>
      <c r="C35" t="s">
        <v>12</v>
      </c>
      <c r="D35" t="s">
        <v>273</v>
      </c>
    </row>
    <row r="36" spans="1:4" x14ac:dyDescent="0.35">
      <c r="A36" t="s">
        <v>100</v>
      </c>
      <c r="B36" t="s">
        <v>120</v>
      </c>
      <c r="C36" t="s">
        <v>121</v>
      </c>
      <c r="D36" t="s">
        <v>275</v>
      </c>
    </row>
    <row r="37" spans="1:4" x14ac:dyDescent="0.35">
      <c r="A37" t="s">
        <v>100</v>
      </c>
      <c r="B37" t="s">
        <v>122</v>
      </c>
      <c r="C37" t="s">
        <v>123</v>
      </c>
      <c r="D37" t="s">
        <v>273</v>
      </c>
    </row>
    <row r="38" spans="1:4" x14ac:dyDescent="0.35">
      <c r="A38" t="s">
        <v>100</v>
      </c>
      <c r="B38" t="s">
        <v>124</v>
      </c>
      <c r="C38" t="s">
        <v>125</v>
      </c>
      <c r="D38" t="s">
        <v>273</v>
      </c>
    </row>
    <row r="39" spans="1:4" x14ac:dyDescent="0.35">
      <c r="A39" t="s">
        <v>100</v>
      </c>
      <c r="B39" t="s">
        <v>131</v>
      </c>
      <c r="C39" t="s">
        <v>16</v>
      </c>
      <c r="D39" t="s">
        <v>272</v>
      </c>
    </row>
    <row r="40" spans="1:4" x14ac:dyDescent="0.35">
      <c r="A40" t="s">
        <v>100</v>
      </c>
      <c r="B40" t="s">
        <v>132</v>
      </c>
      <c r="C40" t="s">
        <v>20</v>
      </c>
      <c r="D40" t="s">
        <v>93</v>
      </c>
    </row>
    <row r="41" spans="1:4" x14ac:dyDescent="0.35">
      <c r="A41" t="s">
        <v>100</v>
      </c>
      <c r="B41" t="s">
        <v>133</v>
      </c>
      <c r="C41" t="s">
        <v>21</v>
      </c>
      <c r="D41" t="s">
        <v>93</v>
      </c>
    </row>
    <row r="42" spans="1:4" x14ac:dyDescent="0.35">
      <c r="A42" t="s">
        <v>100</v>
      </c>
      <c r="B42" t="s">
        <v>134</v>
      </c>
      <c r="C42" t="s">
        <v>22</v>
      </c>
      <c r="D42" t="s">
        <v>93</v>
      </c>
    </row>
    <row r="43" spans="1:4" x14ac:dyDescent="0.35">
      <c r="A43" t="s">
        <v>100</v>
      </c>
      <c r="B43" t="s">
        <v>135</v>
      </c>
      <c r="C43" t="s">
        <v>23</v>
      </c>
      <c r="D43" t="s">
        <v>93</v>
      </c>
    </row>
    <row r="44" spans="1:4" x14ac:dyDescent="0.35">
      <c r="A44" t="s">
        <v>100</v>
      </c>
      <c r="B44" t="s">
        <v>136</v>
      </c>
      <c r="C44" t="s">
        <v>24</v>
      </c>
      <c r="D44" t="s">
        <v>93</v>
      </c>
    </row>
    <row r="45" spans="1:4" x14ac:dyDescent="0.35">
      <c r="A45" t="s">
        <v>100</v>
      </c>
      <c r="B45" t="s">
        <v>137</v>
      </c>
      <c r="C45" t="s">
        <v>138</v>
      </c>
      <c r="D45" t="s">
        <v>93</v>
      </c>
    </row>
    <row r="46" spans="1:4" x14ac:dyDescent="0.35">
      <c r="A46" t="s">
        <v>100</v>
      </c>
      <c r="B46" t="s">
        <v>139</v>
      </c>
      <c r="C46" t="s">
        <v>25</v>
      </c>
      <c r="D46" t="s">
        <v>93</v>
      </c>
    </row>
    <row r="47" spans="1:4" x14ac:dyDescent="0.35">
      <c r="A47" t="s">
        <v>100</v>
      </c>
      <c r="B47" t="s">
        <v>140</v>
      </c>
      <c r="C47" t="s">
        <v>26</v>
      </c>
      <c r="D47" t="s">
        <v>93</v>
      </c>
    </row>
    <row r="48" spans="1:4" x14ac:dyDescent="0.35">
      <c r="A48" t="s">
        <v>100</v>
      </c>
      <c r="B48" t="s">
        <v>141</v>
      </c>
      <c r="C48" t="s">
        <v>27</v>
      </c>
      <c r="D48" t="s">
        <v>274</v>
      </c>
    </row>
    <row r="49" spans="1:4" x14ac:dyDescent="0.35">
      <c r="A49" t="s">
        <v>100</v>
      </c>
      <c r="B49" t="s">
        <v>142</v>
      </c>
      <c r="C49" t="s">
        <v>28</v>
      </c>
      <c r="D49" t="s">
        <v>274</v>
      </c>
    </row>
    <row r="50" spans="1:4" x14ac:dyDescent="0.35">
      <c r="A50" t="s">
        <v>100</v>
      </c>
      <c r="B50" t="s">
        <v>145</v>
      </c>
      <c r="C50" t="s">
        <v>29</v>
      </c>
      <c r="D50" t="s">
        <v>274</v>
      </c>
    </row>
    <row r="51" spans="1:4" x14ac:dyDescent="0.35">
      <c r="A51" t="s">
        <v>100</v>
      </c>
      <c r="B51" t="s">
        <v>265</v>
      </c>
      <c r="C51" t="s">
        <v>16</v>
      </c>
      <c r="D51" t="s">
        <v>272</v>
      </c>
    </row>
    <row r="52" spans="1:4" x14ac:dyDescent="0.35">
      <c r="A52" t="s">
        <v>100</v>
      </c>
      <c r="B52" t="s">
        <v>155</v>
      </c>
      <c r="C52" t="s">
        <v>37</v>
      </c>
      <c r="D52" t="s">
        <v>94</v>
      </c>
    </row>
    <row r="53" spans="1:4" x14ac:dyDescent="0.35">
      <c r="A53" t="s">
        <v>100</v>
      </c>
      <c r="B53" t="s">
        <v>156</v>
      </c>
      <c r="C53" t="s">
        <v>38</v>
      </c>
      <c r="D53" t="s">
        <v>94</v>
      </c>
    </row>
    <row r="54" spans="1:4" x14ac:dyDescent="0.35">
      <c r="A54" t="s">
        <v>100</v>
      </c>
      <c r="B54" t="s">
        <v>160</v>
      </c>
      <c r="C54" t="s">
        <v>161</v>
      </c>
      <c r="D54" t="s">
        <v>271</v>
      </c>
    </row>
    <row r="55" spans="1:4" x14ac:dyDescent="0.35">
      <c r="A55" t="s">
        <v>100</v>
      </c>
      <c r="B55" t="s">
        <v>168</v>
      </c>
      <c r="C55" t="s">
        <v>48</v>
      </c>
      <c r="D55" t="s">
        <v>93</v>
      </c>
    </row>
    <row r="56" spans="1:4" x14ac:dyDescent="0.35">
      <c r="A56" t="s">
        <v>100</v>
      </c>
      <c r="B56" t="s">
        <v>172</v>
      </c>
      <c r="C56" t="s">
        <v>52</v>
      </c>
      <c r="D56" t="s">
        <v>93</v>
      </c>
    </row>
    <row r="57" spans="1:4" x14ac:dyDescent="0.35">
      <c r="A57" t="s">
        <v>100</v>
      </c>
      <c r="B57" t="s">
        <v>173</v>
      </c>
      <c r="C57" t="s">
        <v>53</v>
      </c>
      <c r="D57" t="s">
        <v>93</v>
      </c>
    </row>
    <row r="58" spans="1:4" x14ac:dyDescent="0.35">
      <c r="A58" t="s">
        <v>100</v>
      </c>
      <c r="B58" t="s">
        <v>174</v>
      </c>
      <c r="C58" t="s">
        <v>54</v>
      </c>
      <c r="D58" t="s">
        <v>93</v>
      </c>
    </row>
    <row r="59" spans="1:4" x14ac:dyDescent="0.35">
      <c r="A59" t="s">
        <v>100</v>
      </c>
      <c r="B59" t="s">
        <v>175</v>
      </c>
      <c r="C59" t="s">
        <v>55</v>
      </c>
      <c r="D59" t="s">
        <v>93</v>
      </c>
    </row>
    <row r="60" spans="1:4" x14ac:dyDescent="0.35">
      <c r="A60" t="s">
        <v>100</v>
      </c>
      <c r="B60" t="s">
        <v>179</v>
      </c>
      <c r="C60" t="s">
        <v>59</v>
      </c>
      <c r="D60" t="s">
        <v>93</v>
      </c>
    </row>
    <row r="61" spans="1:4" x14ac:dyDescent="0.35">
      <c r="A61" t="s">
        <v>100</v>
      </c>
      <c r="B61" t="s">
        <v>181</v>
      </c>
      <c r="C61" t="s">
        <v>61</v>
      </c>
      <c r="D61" t="s">
        <v>275</v>
      </c>
    </row>
    <row r="62" spans="1:4" x14ac:dyDescent="0.35">
      <c r="A62" t="s">
        <v>100</v>
      </c>
      <c r="B62" t="s">
        <v>266</v>
      </c>
      <c r="C62" t="s">
        <v>267</v>
      </c>
      <c r="D62" t="s">
        <v>272</v>
      </c>
    </row>
    <row r="63" spans="1:4" x14ac:dyDescent="0.35">
      <c r="A63" t="s">
        <v>100</v>
      </c>
      <c r="B63" t="s">
        <v>193</v>
      </c>
      <c r="C63" t="s">
        <v>194</v>
      </c>
      <c r="D63" t="s">
        <v>275</v>
      </c>
    </row>
    <row r="64" spans="1:4" x14ac:dyDescent="0.35">
      <c r="A64" t="s">
        <v>100</v>
      </c>
      <c r="B64" t="s">
        <v>149</v>
      </c>
      <c r="C64" t="s">
        <v>31</v>
      </c>
      <c r="D64" t="s">
        <v>271</v>
      </c>
    </row>
    <row r="65" spans="1:4" x14ac:dyDescent="0.35">
      <c r="A65" t="s">
        <v>100</v>
      </c>
      <c r="B65" t="s">
        <v>162</v>
      </c>
      <c r="C65" t="s">
        <v>42</v>
      </c>
      <c r="D65" t="s">
        <v>94</v>
      </c>
    </row>
    <row r="66" spans="1:4" x14ac:dyDescent="0.35">
      <c r="A66" t="s">
        <v>100</v>
      </c>
      <c r="B66" s="9" t="s">
        <v>185</v>
      </c>
      <c r="C66" t="s">
        <v>63</v>
      </c>
      <c r="D66" t="s">
        <v>93</v>
      </c>
    </row>
    <row r="67" spans="1:4" x14ac:dyDescent="0.35">
      <c r="A67" t="s">
        <v>100</v>
      </c>
      <c r="B67" t="s">
        <v>190</v>
      </c>
      <c r="C67" t="s">
        <v>67</v>
      </c>
      <c r="D67" t="s">
        <v>93</v>
      </c>
    </row>
    <row r="68" spans="1:4" x14ac:dyDescent="0.35">
      <c r="A68" t="s">
        <v>99</v>
      </c>
      <c r="B68" t="s">
        <v>281</v>
      </c>
      <c r="C68" t="s">
        <v>282</v>
      </c>
      <c r="D68" t="s">
        <v>275</v>
      </c>
    </row>
    <row r="69" spans="1:4" x14ac:dyDescent="0.35">
      <c r="A69" t="s">
        <v>100</v>
      </c>
      <c r="B69" t="s">
        <v>102</v>
      </c>
      <c r="C69" t="s">
        <v>283</v>
      </c>
      <c r="D69" t="s">
        <v>271</v>
      </c>
    </row>
    <row r="70" spans="1:4" x14ac:dyDescent="0.35">
      <c r="A70" t="s">
        <v>100</v>
      </c>
      <c r="B70" t="s">
        <v>106</v>
      </c>
      <c r="C70" t="s">
        <v>14</v>
      </c>
      <c r="D70" t="s">
        <v>271</v>
      </c>
    </row>
    <row r="71" spans="1:4" x14ac:dyDescent="0.35">
      <c r="A71" t="s">
        <v>100</v>
      </c>
      <c r="B71" t="s">
        <v>107</v>
      </c>
      <c r="C71" t="s">
        <v>108</v>
      </c>
      <c r="D71" t="s">
        <v>271</v>
      </c>
    </row>
    <row r="72" spans="1:4" x14ac:dyDescent="0.35">
      <c r="A72" t="s">
        <v>100</v>
      </c>
      <c r="B72" t="s">
        <v>284</v>
      </c>
      <c r="C72" t="s">
        <v>285</v>
      </c>
      <c r="D72" t="s">
        <v>272</v>
      </c>
    </row>
    <row r="73" spans="1:4" x14ac:dyDescent="0.35">
      <c r="A73" t="s">
        <v>100</v>
      </c>
      <c r="B73" t="s">
        <v>129</v>
      </c>
      <c r="C73" t="s">
        <v>286</v>
      </c>
      <c r="D73" t="s">
        <v>271</v>
      </c>
    </row>
    <row r="74" spans="1:4" x14ac:dyDescent="0.35">
      <c r="A74" t="s">
        <v>100</v>
      </c>
      <c r="B74" t="s">
        <v>143</v>
      </c>
      <c r="C74" t="s">
        <v>144</v>
      </c>
      <c r="D74" t="s">
        <v>93</v>
      </c>
    </row>
    <row r="75" spans="1:4" x14ac:dyDescent="0.35">
      <c r="A75" t="s">
        <v>100</v>
      </c>
      <c r="B75" t="s">
        <v>152</v>
      </c>
      <c r="C75" t="s">
        <v>34</v>
      </c>
      <c r="D75" t="s">
        <v>93</v>
      </c>
    </row>
    <row r="76" spans="1:4" x14ac:dyDescent="0.35">
      <c r="A76" t="s">
        <v>100</v>
      </c>
      <c r="B76" t="s">
        <v>153</v>
      </c>
      <c r="C76" t="s">
        <v>35</v>
      </c>
      <c r="D76" t="s">
        <v>93</v>
      </c>
    </row>
    <row r="77" spans="1:4" x14ac:dyDescent="0.35">
      <c r="A77" t="s">
        <v>100</v>
      </c>
      <c r="B77" t="s">
        <v>158</v>
      </c>
      <c r="C77" t="s">
        <v>287</v>
      </c>
      <c r="D77" t="s">
        <v>94</v>
      </c>
    </row>
    <row r="78" spans="1:4" x14ac:dyDescent="0.35">
      <c r="A78" t="s">
        <v>100</v>
      </c>
      <c r="B78" t="s">
        <v>159</v>
      </c>
      <c r="C78" t="s">
        <v>41</v>
      </c>
      <c r="D78" t="s">
        <v>94</v>
      </c>
    </row>
    <row r="79" spans="1:4" x14ac:dyDescent="0.35">
      <c r="A79" t="s">
        <v>100</v>
      </c>
      <c r="B79" t="s">
        <v>165</v>
      </c>
      <c r="C79" t="s">
        <v>45</v>
      </c>
      <c r="D79" t="s">
        <v>94</v>
      </c>
    </row>
    <row r="80" spans="1:4" x14ac:dyDescent="0.35">
      <c r="A80" t="s">
        <v>100</v>
      </c>
      <c r="B80" t="s">
        <v>166</v>
      </c>
      <c r="C80" t="s">
        <v>46</v>
      </c>
      <c r="D80" t="s">
        <v>94</v>
      </c>
    </row>
    <row r="81" spans="1:4" x14ac:dyDescent="0.35">
      <c r="A81" t="s">
        <v>100</v>
      </c>
      <c r="B81" t="s">
        <v>170</v>
      </c>
      <c r="C81" t="s">
        <v>288</v>
      </c>
      <c r="D81" t="s">
        <v>93</v>
      </c>
    </row>
    <row r="82" spans="1:4" x14ac:dyDescent="0.35">
      <c r="A82" t="s">
        <v>100</v>
      </c>
      <c r="B82" t="s">
        <v>171</v>
      </c>
      <c r="C82" t="s">
        <v>289</v>
      </c>
      <c r="D82" t="s">
        <v>93</v>
      </c>
    </row>
    <row r="83" spans="1:4" x14ac:dyDescent="0.35">
      <c r="A83" t="s">
        <v>100</v>
      </c>
      <c r="B83" t="s">
        <v>177</v>
      </c>
      <c r="C83" t="s">
        <v>290</v>
      </c>
      <c r="D83" t="s">
        <v>93</v>
      </c>
    </row>
    <row r="84" spans="1:4" x14ac:dyDescent="0.35">
      <c r="A84" t="s">
        <v>100</v>
      </c>
      <c r="B84" t="s">
        <v>178</v>
      </c>
      <c r="C84" t="s">
        <v>291</v>
      </c>
      <c r="D84" t="s">
        <v>93</v>
      </c>
    </row>
    <row r="85" spans="1:4" x14ac:dyDescent="0.35">
      <c r="A85" t="s">
        <v>100</v>
      </c>
      <c r="B85" t="s">
        <v>292</v>
      </c>
      <c r="C85" t="s">
        <v>293</v>
      </c>
      <c r="D85" t="s">
        <v>271</v>
      </c>
    </row>
    <row r="86" spans="1:4" x14ac:dyDescent="0.35">
      <c r="A86" t="s">
        <v>100</v>
      </c>
      <c r="B86" t="s">
        <v>294</v>
      </c>
      <c r="C86" t="s">
        <v>295</v>
      </c>
      <c r="D86" t="s">
        <v>272</v>
      </c>
    </row>
    <row r="87" spans="1:4" x14ac:dyDescent="0.35">
      <c r="A87" t="s">
        <v>100</v>
      </c>
      <c r="B87" t="s">
        <v>296</v>
      </c>
      <c r="C87" t="s">
        <v>297</v>
      </c>
      <c r="D87" t="s">
        <v>272</v>
      </c>
    </row>
    <row r="88" spans="1:4" x14ac:dyDescent="0.35">
      <c r="A88" t="s">
        <v>100</v>
      </c>
      <c r="B88" t="s">
        <v>187</v>
      </c>
      <c r="C88" t="s">
        <v>298</v>
      </c>
      <c r="D88" t="s">
        <v>271</v>
      </c>
    </row>
    <row r="89" spans="1:4" x14ac:dyDescent="0.35">
      <c r="A89" t="s">
        <v>100</v>
      </c>
      <c r="B89" t="s">
        <v>188</v>
      </c>
      <c r="C89" t="s">
        <v>299</v>
      </c>
      <c r="D89" t="s">
        <v>93</v>
      </c>
    </row>
    <row r="90" spans="1:4" x14ac:dyDescent="0.35">
      <c r="A90" t="s">
        <v>100</v>
      </c>
      <c r="B90" t="s">
        <v>300</v>
      </c>
      <c r="C90" t="s">
        <v>301</v>
      </c>
      <c r="D90" t="s">
        <v>275</v>
      </c>
    </row>
    <row r="91" spans="1:4" x14ac:dyDescent="0.35">
      <c r="A91" t="s">
        <v>100</v>
      </c>
      <c r="B91" t="s">
        <v>302</v>
      </c>
      <c r="C91" t="s">
        <v>303</v>
      </c>
      <c r="D91" t="s">
        <v>275</v>
      </c>
    </row>
    <row r="92" spans="1:4" x14ac:dyDescent="0.35">
      <c r="A92" t="s">
        <v>100</v>
      </c>
      <c r="B92" t="s">
        <v>198</v>
      </c>
      <c r="C92" t="s">
        <v>304</v>
      </c>
      <c r="D92" t="s">
        <v>272</v>
      </c>
    </row>
    <row r="93" spans="1:4" x14ac:dyDescent="0.35">
      <c r="A93" t="s">
        <v>100</v>
      </c>
      <c r="B93" t="s">
        <v>305</v>
      </c>
      <c r="C93" t="s">
        <v>306</v>
      </c>
      <c r="D93" t="s">
        <v>272</v>
      </c>
    </row>
    <row r="94" spans="1:4" x14ac:dyDescent="0.35">
      <c r="A94" t="s">
        <v>100</v>
      </c>
      <c r="B94" t="s">
        <v>307</v>
      </c>
      <c r="C94" t="s">
        <v>308</v>
      </c>
      <c r="D94" t="s">
        <v>272</v>
      </c>
    </row>
    <row r="95" spans="1:4" x14ac:dyDescent="0.35">
      <c r="A95" t="s">
        <v>100</v>
      </c>
      <c r="B95" t="s">
        <v>202</v>
      </c>
      <c r="C95" t="s">
        <v>11</v>
      </c>
      <c r="D95" t="s">
        <v>272</v>
      </c>
    </row>
    <row r="96" spans="1:4" x14ac:dyDescent="0.35">
      <c r="A96" t="s">
        <v>100</v>
      </c>
      <c r="B96" t="s">
        <v>309</v>
      </c>
      <c r="C96" t="s">
        <v>310</v>
      </c>
      <c r="D96" t="s">
        <v>275</v>
      </c>
    </row>
    <row r="97" spans="1:4" x14ac:dyDescent="0.35">
      <c r="A97" t="s">
        <v>100</v>
      </c>
      <c r="B97" t="s">
        <v>103</v>
      </c>
      <c r="C97" t="s">
        <v>104</v>
      </c>
      <c r="D97" t="s">
        <v>271</v>
      </c>
    </row>
    <row r="98" spans="1:4" x14ac:dyDescent="0.35">
      <c r="A98" t="s">
        <v>100</v>
      </c>
      <c r="B98" t="s">
        <v>311</v>
      </c>
      <c r="C98" t="s">
        <v>312</v>
      </c>
      <c r="D98" t="s">
        <v>275</v>
      </c>
    </row>
    <row r="99" spans="1:4" x14ac:dyDescent="0.35">
      <c r="A99" t="s">
        <v>100</v>
      </c>
      <c r="B99" t="s">
        <v>313</v>
      </c>
      <c r="C99" t="s">
        <v>314</v>
      </c>
      <c r="D99" t="s">
        <v>275</v>
      </c>
    </row>
    <row r="100" spans="1:4" x14ac:dyDescent="0.35">
      <c r="A100" t="s">
        <v>100</v>
      </c>
      <c r="B100" t="s">
        <v>315</v>
      </c>
      <c r="C100" t="s">
        <v>316</v>
      </c>
      <c r="D100" t="s">
        <v>275</v>
      </c>
    </row>
    <row r="101" spans="1:4" x14ac:dyDescent="0.35">
      <c r="A101" t="s">
        <v>100</v>
      </c>
      <c r="B101" t="s">
        <v>317</v>
      </c>
      <c r="C101" t="s">
        <v>318</v>
      </c>
      <c r="D101" t="s">
        <v>275</v>
      </c>
    </row>
    <row r="102" spans="1:4" x14ac:dyDescent="0.35">
      <c r="A102" t="s">
        <v>100</v>
      </c>
      <c r="B102" t="s">
        <v>319</v>
      </c>
      <c r="C102" t="s">
        <v>287</v>
      </c>
      <c r="D102" t="s">
        <v>271</v>
      </c>
    </row>
    <row r="103" spans="1:4" x14ac:dyDescent="0.35">
      <c r="A103" t="s">
        <v>100</v>
      </c>
      <c r="B103" t="s">
        <v>320</v>
      </c>
      <c r="C103" t="s">
        <v>321</v>
      </c>
      <c r="D103" t="s">
        <v>271</v>
      </c>
    </row>
    <row r="104" spans="1:4" x14ac:dyDescent="0.35">
      <c r="A104" t="s">
        <v>100</v>
      </c>
      <c r="B104" t="s">
        <v>322</v>
      </c>
      <c r="C104" t="s">
        <v>323</v>
      </c>
      <c r="D104" t="s">
        <v>94</v>
      </c>
    </row>
    <row r="105" spans="1:4" x14ac:dyDescent="0.35">
      <c r="A105" t="s">
        <v>100</v>
      </c>
      <c r="B105" t="s">
        <v>324</v>
      </c>
      <c r="C105" t="s">
        <v>325</v>
      </c>
      <c r="D105" t="s">
        <v>94</v>
      </c>
    </row>
    <row r="106" spans="1:4" x14ac:dyDescent="0.35">
      <c r="A106" t="s">
        <v>100</v>
      </c>
      <c r="B106" t="s">
        <v>326</v>
      </c>
      <c r="C106" t="s">
        <v>327</v>
      </c>
      <c r="D106" t="s">
        <v>94</v>
      </c>
    </row>
    <row r="107" spans="1:4" x14ac:dyDescent="0.35">
      <c r="A107" t="s">
        <v>100</v>
      </c>
      <c r="B107" t="s">
        <v>328</v>
      </c>
      <c r="C107" t="s">
        <v>329</v>
      </c>
      <c r="D107" t="s">
        <v>94</v>
      </c>
    </row>
    <row r="108" spans="1:4" x14ac:dyDescent="0.35">
      <c r="A108" t="s">
        <v>100</v>
      </c>
      <c r="B108" t="s">
        <v>330</v>
      </c>
      <c r="C108" t="s">
        <v>331</v>
      </c>
      <c r="D108" t="s">
        <v>94</v>
      </c>
    </row>
    <row r="109" spans="1:4" x14ac:dyDescent="0.35">
      <c r="A109" t="s">
        <v>100</v>
      </c>
      <c r="B109" t="s">
        <v>332</v>
      </c>
      <c r="C109" t="s">
        <v>333</v>
      </c>
      <c r="D109" t="s">
        <v>93</v>
      </c>
    </row>
    <row r="110" spans="1:4" x14ac:dyDescent="0.35">
      <c r="A110" t="s">
        <v>100</v>
      </c>
      <c r="B110" t="s">
        <v>334</v>
      </c>
      <c r="C110" t="s">
        <v>335</v>
      </c>
      <c r="D110" t="s">
        <v>93</v>
      </c>
    </row>
    <row r="111" spans="1:4" x14ac:dyDescent="0.35">
      <c r="A111" t="s">
        <v>100</v>
      </c>
      <c r="B111" t="s">
        <v>146</v>
      </c>
      <c r="C111" t="s">
        <v>336</v>
      </c>
      <c r="D111" t="s">
        <v>275</v>
      </c>
    </row>
    <row r="112" spans="1:4" x14ac:dyDescent="0.35">
      <c r="A112" t="s">
        <v>100</v>
      </c>
      <c r="B112" t="s">
        <v>337</v>
      </c>
      <c r="C112" t="s">
        <v>287</v>
      </c>
      <c r="D112" t="s">
        <v>94</v>
      </c>
    </row>
    <row r="113" spans="1:4" x14ac:dyDescent="0.35">
      <c r="A113" t="s">
        <v>100</v>
      </c>
      <c r="B113" t="s">
        <v>150</v>
      </c>
      <c r="C113" t="s">
        <v>32</v>
      </c>
      <c r="D113" t="s">
        <v>271</v>
      </c>
    </row>
    <row r="114" spans="1:4" x14ac:dyDescent="0.35">
      <c r="A114" t="s">
        <v>100</v>
      </c>
      <c r="B114" t="s">
        <v>338</v>
      </c>
      <c r="C114" t="s">
        <v>339</v>
      </c>
      <c r="D114" t="s">
        <v>271</v>
      </c>
    </row>
    <row r="115" spans="1:4" x14ac:dyDescent="0.35">
      <c r="A115" t="s">
        <v>100</v>
      </c>
      <c r="B115" t="s">
        <v>340</v>
      </c>
      <c r="C115" t="s">
        <v>341</v>
      </c>
      <c r="D115" t="s">
        <v>94</v>
      </c>
    </row>
    <row r="116" spans="1:4" x14ac:dyDescent="0.35">
      <c r="A116" t="s">
        <v>100</v>
      </c>
      <c r="B116" t="s">
        <v>163</v>
      </c>
      <c r="C116" t="s">
        <v>43</v>
      </c>
      <c r="D116" t="s">
        <v>94</v>
      </c>
    </row>
    <row r="117" spans="1:4" x14ac:dyDescent="0.35">
      <c r="A117" t="s">
        <v>100</v>
      </c>
      <c r="B117" t="s">
        <v>342</v>
      </c>
      <c r="C117" t="s">
        <v>343</v>
      </c>
      <c r="D117" t="s">
        <v>94</v>
      </c>
    </row>
    <row r="118" spans="1:4" x14ac:dyDescent="0.35">
      <c r="A118" t="s">
        <v>100</v>
      </c>
      <c r="B118" t="s">
        <v>344</v>
      </c>
      <c r="C118" t="s">
        <v>345</v>
      </c>
      <c r="D118" t="s">
        <v>271</v>
      </c>
    </row>
    <row r="119" spans="1:4" x14ac:dyDescent="0.35">
      <c r="A119" t="s">
        <v>100</v>
      </c>
      <c r="B119" t="s">
        <v>346</v>
      </c>
      <c r="C119" t="s">
        <v>347</v>
      </c>
      <c r="D119" t="s">
        <v>93</v>
      </c>
    </row>
    <row r="120" spans="1:4" x14ac:dyDescent="0.35">
      <c r="A120" t="s">
        <v>100</v>
      </c>
      <c r="B120" t="s">
        <v>348</v>
      </c>
      <c r="C120" t="s">
        <v>349</v>
      </c>
      <c r="D120" t="s">
        <v>93</v>
      </c>
    </row>
    <row r="121" spans="1:4" x14ac:dyDescent="0.35">
      <c r="A121" t="s">
        <v>100</v>
      </c>
      <c r="B121" t="s">
        <v>182</v>
      </c>
      <c r="C121" t="s">
        <v>183</v>
      </c>
      <c r="D121" t="s">
        <v>275</v>
      </c>
    </row>
    <row r="122" spans="1:4" x14ac:dyDescent="0.35">
      <c r="A122" t="s">
        <v>100</v>
      </c>
      <c r="B122" t="s">
        <v>186</v>
      </c>
      <c r="C122" t="s">
        <v>20</v>
      </c>
      <c r="D122" t="s">
        <v>93</v>
      </c>
    </row>
    <row r="123" spans="1:4" x14ac:dyDescent="0.35">
      <c r="A123" t="s">
        <v>100</v>
      </c>
      <c r="B123" t="s">
        <v>350</v>
      </c>
      <c r="C123" t="s">
        <v>351</v>
      </c>
      <c r="D123" t="s">
        <v>93</v>
      </c>
    </row>
    <row r="124" spans="1:4" x14ac:dyDescent="0.35">
      <c r="A124" t="s">
        <v>100</v>
      </c>
      <c r="B124" t="s">
        <v>191</v>
      </c>
      <c r="C124" t="s">
        <v>192</v>
      </c>
      <c r="D124" t="s">
        <v>275</v>
      </c>
    </row>
    <row r="125" spans="1:4" x14ac:dyDescent="0.35">
      <c r="A125" t="s">
        <v>100</v>
      </c>
      <c r="B125" t="s">
        <v>352</v>
      </c>
      <c r="C125" t="s">
        <v>353</v>
      </c>
      <c r="D125" t="s">
        <v>275</v>
      </c>
    </row>
    <row r="126" spans="1:4" x14ac:dyDescent="0.35">
      <c r="A126" t="s">
        <v>100</v>
      </c>
      <c r="B126" t="s">
        <v>197</v>
      </c>
      <c r="C126" t="s">
        <v>70</v>
      </c>
      <c r="D126" t="s">
        <v>271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Conferência</vt:lpstr>
      <vt:lpstr>Proventos</vt:lpstr>
      <vt:lpstr>Proventos 2017</vt:lpstr>
    </vt:vector>
  </TitlesOfParts>
  <Company>Leica Geosystems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Leite</dc:creator>
  <cp:lastModifiedBy>LEITE Celso</cp:lastModifiedBy>
  <dcterms:created xsi:type="dcterms:W3CDTF">2015-07-29T12:49:32Z</dcterms:created>
  <dcterms:modified xsi:type="dcterms:W3CDTF">2019-08-29T15:02:34Z</dcterms:modified>
</cp:coreProperties>
</file>